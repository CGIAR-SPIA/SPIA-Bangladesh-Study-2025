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D:\SPIA Dropbox\SPIA General\SPIA 2019-2024\5. OBJ.3-Data collection\Country teams\Bangladesh\Stocktake and supporting documents\BIHS\Data\Raw\"/>
    </mc:Choice>
  </mc:AlternateContent>
  <xr:revisionPtr revIDLastSave="0" documentId="13_ncr:1_{468E3B80-4D6A-496B-9FC4-C5020D659B6F}" xr6:coauthVersionLast="47" xr6:coauthVersionMax="47" xr10:uidLastSave="{00000000-0000-0000-0000-000000000000}"/>
  <bookViews>
    <workbookView xWindow="-110" yWindow="-110" windowWidth="19420" windowHeight="10300" xr2:uid="{00000000-000D-0000-FFFF-FFFF00000000}"/>
  </bookViews>
  <sheets>
    <sheet name="Round 2 and 3"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4" i="1" l="1"/>
  <c r="R4" i="1" s="1"/>
  <c r="E4" i="1"/>
  <c r="M4" i="1" s="1"/>
  <c r="N4" i="1" s="1"/>
  <c r="Q6" i="1"/>
  <c r="R6" i="1" s="1"/>
  <c r="Q5" i="1"/>
  <c r="R5" i="1" s="1"/>
  <c r="Q7" i="1"/>
  <c r="R7" i="1" s="1"/>
  <c r="Q8" i="1"/>
  <c r="R8" i="1" s="1"/>
  <c r="Q9" i="1"/>
  <c r="R9" i="1" s="1"/>
  <c r="Q10" i="1"/>
  <c r="R10" i="1" s="1"/>
  <c r="E10" i="1"/>
  <c r="E9" i="1"/>
  <c r="E8" i="1"/>
  <c r="E7" i="1"/>
  <c r="E6" i="1"/>
  <c r="E5" i="1"/>
  <c r="F5" i="1" s="1"/>
  <c r="I5" i="1" s="1"/>
  <c r="F4" i="1" l="1"/>
  <c r="I4" i="1" s="1"/>
  <c r="M5" i="1"/>
  <c r="F7" i="1"/>
  <c r="M7" i="1"/>
  <c r="F8" i="1"/>
  <c r="I8" i="1" s="1"/>
  <c r="M8" i="1"/>
  <c r="N8" i="1" s="1"/>
  <c r="F9" i="1"/>
  <c r="I9" i="1" s="1"/>
  <c r="M9" i="1"/>
  <c r="N9" i="1" s="1"/>
  <c r="F6" i="1"/>
  <c r="I6" i="1" s="1"/>
  <c r="M6" i="1"/>
  <c r="F10" i="1"/>
  <c r="K10" i="1" s="1"/>
  <c r="M10" i="1"/>
  <c r="N10" i="1" s="1"/>
  <c r="I10" i="1"/>
  <c r="K4" i="1" l="1"/>
  <c r="K7" i="1"/>
  <c r="I7" i="1"/>
  <c r="K5" i="1"/>
  <c r="N5" i="1" s="1"/>
  <c r="K6" i="1"/>
  <c r="K8" i="1"/>
  <c r="K9" i="1"/>
  <c r="N6" i="1"/>
  <c r="N7" i="1"/>
</calcChain>
</file>

<file path=xl/sharedStrings.xml><?xml version="1.0" encoding="utf-8"?>
<sst xmlns="http://schemas.openxmlformats.org/spreadsheetml/2006/main" count="49" uniqueCount="26">
  <si>
    <t># of obs/div</t>
  </si>
  <si>
    <t>Barisal</t>
  </si>
  <si>
    <t>Chittagong</t>
  </si>
  <si>
    <t>Dhaka</t>
  </si>
  <si>
    <t>Khulna</t>
  </si>
  <si>
    <t>Rajshahi</t>
  </si>
  <si>
    <t>Rangpur</t>
  </si>
  <si>
    <t>Sylhet</t>
  </si>
  <si>
    <t>Total</t>
  </si>
  <si>
    <t>Growth rate from 2011 to 2015</t>
  </si>
  <si>
    <t># of obs/div in 2019</t>
  </si>
  <si>
    <t>Predicted # hh in 2019</t>
  </si>
  <si>
    <t>Division/Stratum</t>
  </si>
  <si>
    <t>Growth rate</t>
  </si>
  <si>
    <t>Total HH 2001</t>
  </si>
  <si>
    <t>Total HH 2011</t>
  </si>
  <si>
    <t>Predicted HH 2015</t>
  </si>
  <si>
    <t>ROUND 1 HH wgt</t>
  </si>
  <si>
    <t>Adjusted final weight of round 2</t>
  </si>
  <si>
    <t>Adjusted final weight of round 3</t>
  </si>
  <si>
    <t>SPIA-BIHS 2024</t>
  </si>
  <si>
    <t>Total HH 2022 (As per Census 2022)</t>
  </si>
  <si>
    <t>*The total rural HH for Dhaka division is calculated by summing the number of rural HH for Dhaka and Mymensingh division as Dhaka has been split into Dhaka and Mymensingh but the sampling frame is done for seven divisions</t>
  </si>
  <si>
    <t>Predicted HH 2024</t>
  </si>
  <si>
    <t>Division</t>
  </si>
  <si>
    <t>predicted_hh_24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</si>
</sst>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3" x14ac:knownFonts="1">
    <font>
      <sz val="11"/>
      <color theme="1"/>
      <name val="Calibri"/>
      <family val="2"/>
      <scheme val="minor"/>
    </font>
    <font>
      <sz val="11"/>
      <color theme="1"/>
      <name val="Calibri"/>
      <family val="2"/>
      <scheme val="minor"/>
    </font>
    <font>
      <sz val="11"/>
      <color rgb="FF006100"/>
      <name val="Calibri"/>
      <family val="2"/>
      <scheme val="minor"/>
    </font>
    <font>
      <sz val="11"/>
      <color rgb="FFFF0000"/>
      <name val="Calibri"/>
      <family val="2"/>
      <scheme val="minor"/>
    </font>
    <font>
      <b/>
      <sz val="12"/>
      <name val="Calibri"/>
      <family val="2"/>
      <scheme val="minor"/>
    </font>
    <font>
      <sz val="12"/>
      <color theme="1"/>
      <name val="Calibri"/>
      <family val="2"/>
    </font>
    <font>
      <b/>
      <sz val="12"/>
      <color theme="1"/>
      <name val="Calibri"/>
      <family val="2"/>
    </font>
    <font>
      <sz val="12"/>
      <name val="Calibri"/>
      <family val="2"/>
      <scheme val="minor"/>
    </font>
    <font>
      <b/>
      <sz val="11"/>
      <color theme="1"/>
      <name val="Calibri"/>
      <family val="2"/>
      <scheme val="minor"/>
    </font>
    <font>
      <sz val="10"/>
      <color theme="1"/>
      <name val="Arial"/>
      <family val="2"/>
    </font>
    <font>
      <b/>
      <sz val="10"/>
      <color theme="1"/>
      <name val="Arial"/>
      <family val="2"/>
    </font>
    <font>
      <sz val="12"/>
      <color theme="1"/>
      <name val="Calibri"/>
      <family val="2"/>
      <scheme val="minor"/>
    </font>
    <font>
      <sz val="11"/>
      <color theme="1"/>
      <name val="Calibri"/>
      <family val="2"/>
    </font>
  </fonts>
  <fills count="3">
    <fill>
      <patternFill patternType="none"/>
    </fill>
    <fill>
      <patternFill patternType="gray125"/>
    </fill>
    <fill>
      <patternFill patternType="solid">
        <fgColor rgb="FFC6EFCE"/>
      </patternFill>
    </fill>
  </fills>
  <borders count="4">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2" borderId="0" applyNumberFormat="0" applyBorder="0" applyAlignment="0" applyProtection="0"/>
  </cellStyleXfs>
  <cellXfs count="29">
    <xf numFmtId="0" fontId="0" fillId="0" borderId="0" xfId="0"/>
    <xf numFmtId="0" fontId="0" fillId="0" borderId="2" xfId="0" applyBorder="1"/>
    <xf numFmtId="164" fontId="5" fillId="0" borderId="2" xfId="1" applyNumberFormat="1" applyFont="1" applyBorder="1"/>
    <xf numFmtId="10" fontId="7" fillId="0" borderId="2" xfId="2" applyNumberFormat="1" applyFont="1" applyFill="1" applyBorder="1"/>
    <xf numFmtId="164" fontId="7" fillId="0" borderId="2" xfId="1" applyNumberFormat="1" applyFont="1" applyFill="1" applyBorder="1"/>
    <xf numFmtId="3" fontId="0" fillId="0" borderId="2" xfId="0" applyNumberFormat="1" applyBorder="1"/>
    <xf numFmtId="3" fontId="0" fillId="0" borderId="0" xfId="0" applyNumberFormat="1"/>
    <xf numFmtId="0" fontId="3" fillId="0" borderId="0" xfId="0" applyFont="1"/>
    <xf numFmtId="0" fontId="0" fillId="0" borderId="0" xfId="0" applyAlignment="1">
      <alignment horizontal="center" vertical="center"/>
    </xf>
    <xf numFmtId="164" fontId="4" fillId="0" borderId="1" xfId="1" applyNumberFormat="1" applyFont="1" applyFill="1" applyBorder="1" applyAlignment="1">
      <alignment horizontal="center" vertical="center" wrapText="1"/>
    </xf>
    <xf numFmtId="0" fontId="4" fillId="0" borderId="1" xfId="0" applyFont="1" applyBorder="1" applyAlignment="1">
      <alignment horizontal="center" vertical="center"/>
    </xf>
    <xf numFmtId="0" fontId="4" fillId="0" borderId="1" xfId="0" applyFont="1" applyBorder="1" applyAlignment="1">
      <alignment horizontal="center" vertical="center" wrapText="1"/>
    </xf>
    <xf numFmtId="0" fontId="6" fillId="0" borderId="2" xfId="0" applyFont="1" applyBorder="1" applyAlignment="1">
      <alignment horizontal="center" vertical="center"/>
    </xf>
    <xf numFmtId="0" fontId="9" fillId="0" borderId="2" xfId="0" applyFont="1" applyBorder="1" applyAlignment="1">
      <alignment horizontal="center" vertical="center"/>
    </xf>
    <xf numFmtId="43" fontId="1" fillId="0" borderId="2" xfId="3" applyNumberFormat="1" applyFont="1" applyFill="1" applyBorder="1"/>
    <xf numFmtId="0" fontId="10" fillId="0" borderId="2" xfId="0" applyFont="1" applyBorder="1" applyAlignment="1">
      <alignment horizontal="center" wrapText="1"/>
    </xf>
    <xf numFmtId="10" fontId="11" fillId="0" borderId="2" xfId="2" applyNumberFormat="1" applyFont="1" applyFill="1" applyBorder="1"/>
    <xf numFmtId="164" fontId="11" fillId="0" borderId="3" xfId="1" applyNumberFormat="1" applyFont="1" applyFill="1" applyBorder="1"/>
    <xf numFmtId="43" fontId="0" fillId="0" borderId="2" xfId="0" applyNumberFormat="1" applyBorder="1"/>
    <xf numFmtId="0" fontId="10" fillId="0" borderId="2" xfId="0" applyFont="1" applyBorder="1" applyAlignment="1">
      <alignment horizontal="center" vertical="center" wrapText="1"/>
    </xf>
    <xf numFmtId="0" fontId="8" fillId="0" borderId="2" xfId="0" applyFont="1" applyBorder="1" applyAlignment="1">
      <alignment horizontal="center" vertical="center" wrapText="1"/>
    </xf>
    <xf numFmtId="0" fontId="6" fillId="0" borderId="2" xfId="0" applyFont="1" applyBorder="1" applyAlignment="1">
      <alignment horizontal="center" vertical="center" wrapText="1"/>
    </xf>
    <xf numFmtId="3" fontId="0" fillId="0" borderId="0" xfId="0" applyNumberFormat="1" applyAlignment="1">
      <alignment horizontal="center" vertical="center"/>
    </xf>
    <xf numFmtId="164" fontId="12" fillId="0" borderId="2" xfId="1" applyNumberFormat="1" applyFont="1" applyBorder="1"/>
    <xf numFmtId="10" fontId="0" fillId="0" borderId="0" xfId="0" applyNumberFormat="1"/>
    <xf numFmtId="1" fontId="0" fillId="0" borderId="0" xfId="0" applyNumberFormat="1"/>
    <xf numFmtId="0" fontId="8" fillId="0" borderId="0" xfId="0" applyFont="1" applyAlignment="1">
      <alignment wrapText="1"/>
    </xf>
    <xf numFmtId="0" fontId="8" fillId="0" borderId="0" xfId="0" applyFont="1" applyAlignment="1">
      <alignment horizontal="center" wrapText="1"/>
    </xf>
    <xf numFmtId="0" fontId="0" fillId="0" borderId="0" xfId="0" applyAlignment="1">
      <alignment horizontal="center"/>
    </xf>
  </cellXfs>
  <cellStyles count="4">
    <cellStyle name="Comma" xfId="1" builtinId="3"/>
    <cellStyle name="Good" xfId="3" builtinId="26"/>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W12"/>
  <sheetViews>
    <sheetView tabSelected="1" topLeftCell="N1" zoomScale="130" zoomScaleNormal="130" workbookViewId="0">
      <selection activeCell="R1" sqref="R1"/>
    </sheetView>
  </sheetViews>
  <sheetFormatPr defaultRowHeight="14.5" x14ac:dyDescent="0.35"/>
  <cols>
    <col min="1" max="1" width="8.7265625" customWidth="1"/>
    <col min="2" max="9" width="13.08984375" customWidth="1"/>
    <col min="11" max="11" width="12.90625" customWidth="1"/>
    <col min="12" max="12" width="11.36328125" customWidth="1"/>
    <col min="13" max="13" width="11.453125" customWidth="1"/>
    <col min="14" max="14" width="12" customWidth="1"/>
    <col min="15" max="15" width="13.08984375" customWidth="1"/>
    <col min="16" max="16" width="21.90625" customWidth="1"/>
    <col min="17" max="17" width="13.26953125" style="24" customWidth="1"/>
    <col min="18" max="18" width="15.08984375" customWidth="1"/>
  </cols>
  <sheetData>
    <row r="1" spans="2:23" ht="46.5" x14ac:dyDescent="0.35">
      <c r="B1" s="13" t="s">
        <v>24</v>
      </c>
      <c r="C1" s="9" t="s">
        <v>14</v>
      </c>
      <c r="D1" s="9" t="s">
        <v>15</v>
      </c>
      <c r="E1" s="10" t="s">
        <v>13</v>
      </c>
      <c r="F1" s="11" t="s">
        <v>16</v>
      </c>
      <c r="G1" s="11" t="s">
        <v>17</v>
      </c>
      <c r="H1" s="12" t="s">
        <v>0</v>
      </c>
      <c r="I1" s="15" t="s">
        <v>18</v>
      </c>
      <c r="K1" s="20" t="s">
        <v>9</v>
      </c>
      <c r="L1" s="21" t="s">
        <v>10</v>
      </c>
      <c r="M1" s="21" t="s">
        <v>11</v>
      </c>
      <c r="N1" s="19" t="s">
        <v>19</v>
      </c>
      <c r="O1" s="13" t="s">
        <v>12</v>
      </c>
      <c r="P1" s="9" t="s">
        <v>21</v>
      </c>
      <c r="Q1" s="10" t="s">
        <v>13</v>
      </c>
      <c r="R1" s="27" t="s">
        <v>25</v>
      </c>
      <c r="S1" s="21"/>
      <c r="T1" s="26"/>
    </row>
    <row r="2" spans="2:23" x14ac:dyDescent="0.35">
      <c r="K2" s="7"/>
      <c r="L2" s="7"/>
      <c r="M2" s="7"/>
      <c r="N2" s="7"/>
      <c r="P2" s="28" t="s">
        <v>20</v>
      </c>
      <c r="Q2" s="28"/>
      <c r="R2" s="28"/>
      <c r="S2" s="28"/>
      <c r="T2" s="28"/>
      <c r="U2" s="28"/>
      <c r="V2" s="28"/>
      <c r="W2" s="28"/>
    </row>
    <row r="3" spans="2:23" ht="46.5" x14ac:dyDescent="0.35">
      <c r="B3" s="13" t="s">
        <v>12</v>
      </c>
      <c r="C3" s="9" t="s">
        <v>14</v>
      </c>
      <c r="D3" s="9" t="s">
        <v>15</v>
      </c>
      <c r="E3" s="10" t="s">
        <v>13</v>
      </c>
      <c r="F3" s="11" t="s">
        <v>16</v>
      </c>
      <c r="G3" s="11" t="s">
        <v>17</v>
      </c>
      <c r="H3" s="12" t="s">
        <v>0</v>
      </c>
      <c r="I3" s="15" t="s">
        <v>18</v>
      </c>
      <c r="K3" s="20" t="s">
        <v>9</v>
      </c>
      <c r="L3" s="21" t="s">
        <v>10</v>
      </c>
      <c r="M3" s="21" t="s">
        <v>11</v>
      </c>
      <c r="N3" s="19" t="s">
        <v>19</v>
      </c>
      <c r="O3" s="13" t="s">
        <v>12</v>
      </c>
      <c r="P3" s="9" t="s">
        <v>21</v>
      </c>
      <c r="Q3" s="10" t="s">
        <v>13</v>
      </c>
      <c r="R3" s="27" t="s">
        <v>23</v>
      </c>
      <c r="S3" s="21"/>
      <c r="T3" s="26"/>
    </row>
    <row r="4" spans="2:23" ht="15.5" x14ac:dyDescent="0.35">
      <c r="B4" s="1" t="s">
        <v>1</v>
      </c>
      <c r="C4" s="2">
        <v>1410100</v>
      </c>
      <c r="D4" s="2">
        <v>1561303</v>
      </c>
      <c r="E4" s="3">
        <f>((D4/C4)^(1/10))-1</f>
        <v>1.0238064513672596E-2</v>
      </c>
      <c r="F4" s="4">
        <f>D4*(1+E4)^(3)</f>
        <v>1609749.7958136408</v>
      </c>
      <c r="G4" s="1">
        <v>3866.1</v>
      </c>
      <c r="H4" s="1">
        <v>410</v>
      </c>
      <c r="I4" s="14">
        <f>F4/H4</f>
        <v>3926.2190141796118</v>
      </c>
      <c r="K4" s="16">
        <f>((F4/D4)^(1/3))-1</f>
        <v>1.0238064513672596E-2</v>
      </c>
      <c r="L4" s="1">
        <v>412</v>
      </c>
      <c r="M4" s="17">
        <f>D4*(1+E4)^(8)</f>
        <v>1693858.0774618383</v>
      </c>
      <c r="N4" s="18">
        <f>M4/L4</f>
        <v>4111.3060132568889</v>
      </c>
      <c r="O4" s="1" t="s">
        <v>1</v>
      </c>
      <c r="P4" s="6">
        <v>1663967</v>
      </c>
      <c r="Q4" s="24">
        <f t="shared" ref="Q4:Q10" si="0">((P4/C4)^(1/21))-1</f>
        <v>7.9141952031587248E-3</v>
      </c>
      <c r="R4" s="25">
        <f>P4*(1+Q4)</f>
        <v>1677135.9596496145</v>
      </c>
    </row>
    <row r="5" spans="2:23" ht="15.5" x14ac:dyDescent="0.35">
      <c r="B5" s="1" t="s">
        <v>2</v>
      </c>
      <c r="C5" s="2">
        <v>3326980</v>
      </c>
      <c r="D5" s="2">
        <v>4211325</v>
      </c>
      <c r="E5" s="3">
        <f t="shared" ref="E5:E10" si="1">((D5/C5)^(1/10))-1</f>
        <v>2.3851231108506399E-2</v>
      </c>
      <c r="F5" s="4">
        <f>D5*(1+E5)^(3)</f>
        <v>4519905.2301609544</v>
      </c>
      <c r="G5" s="1">
        <v>4562.3</v>
      </c>
      <c r="H5" s="1">
        <v>945</v>
      </c>
      <c r="I5" s="14">
        <f>F5/H5</f>
        <v>4782.9684975248192</v>
      </c>
      <c r="K5" s="16">
        <f t="shared" ref="K5:K10" si="2">((F5/D5)^(1/3))-1</f>
        <v>2.3851231108506399E-2</v>
      </c>
      <c r="L5" s="1">
        <v>974</v>
      </c>
      <c r="M5" s="17">
        <f t="shared" ref="M5:M10" si="3">D5*(1+E5)^(8)</f>
        <v>5085265.2764015729</v>
      </c>
      <c r="N5" s="18">
        <f t="shared" ref="N5:N10" si="4">M5/L5</f>
        <v>5221.011577414346</v>
      </c>
      <c r="O5" s="1" t="s">
        <v>2</v>
      </c>
      <c r="P5" s="23">
        <v>4922971</v>
      </c>
      <c r="Q5" s="24">
        <f t="shared" si="0"/>
        <v>1.8834565940764048E-2</v>
      </c>
      <c r="R5" s="25">
        <f>P5*(1+Q5)</f>
        <v>5015693.0219239695</v>
      </c>
    </row>
    <row r="6" spans="2:23" ht="15.5" x14ac:dyDescent="0.35">
      <c r="B6" s="1" t="s">
        <v>3</v>
      </c>
      <c r="C6" s="2">
        <v>5357120</v>
      </c>
      <c r="D6" s="2">
        <v>7268628</v>
      </c>
      <c r="E6" s="3">
        <f t="shared" si="1"/>
        <v>3.0984430509375605E-2</v>
      </c>
      <c r="F6" s="4">
        <f t="shared" ref="F6:F10" si="5">D6*(1+E6)^(3)</f>
        <v>7965421.5214948775</v>
      </c>
      <c r="G6" s="1">
        <v>4344.5</v>
      </c>
      <c r="H6" s="5">
        <v>1694</v>
      </c>
      <c r="I6" s="14">
        <f>F6/H6</f>
        <v>4702.1378521221241</v>
      </c>
      <c r="K6" s="16">
        <f t="shared" si="2"/>
        <v>3.0984430509375605E-2</v>
      </c>
      <c r="L6" s="5">
        <v>1725</v>
      </c>
      <c r="M6" s="17">
        <f t="shared" si="3"/>
        <v>9278318.9386937078</v>
      </c>
      <c r="N6" s="18">
        <f t="shared" si="4"/>
        <v>5378.7356166340332</v>
      </c>
      <c r="O6" s="1" t="s">
        <v>3</v>
      </c>
      <c r="P6" s="6">
        <v>8408048</v>
      </c>
      <c r="Q6" s="24">
        <f t="shared" si="0"/>
        <v>2.1696924504780002E-2</v>
      </c>
      <c r="R6" s="25">
        <f>P6*(1+Q6)</f>
        <v>8590476.7826885674</v>
      </c>
    </row>
    <row r="7" spans="2:23" ht="15.5" x14ac:dyDescent="0.35">
      <c r="B7" s="1" t="s">
        <v>4</v>
      </c>
      <c r="C7" s="2">
        <v>2468280</v>
      </c>
      <c r="D7" s="2">
        <v>3072496</v>
      </c>
      <c r="E7" s="3">
        <f t="shared" si="1"/>
        <v>2.2138366803389875E-2</v>
      </c>
      <c r="F7" s="4">
        <f t="shared" si="5"/>
        <v>3281107.0254842788</v>
      </c>
      <c r="G7" s="1">
        <v>5917.4</v>
      </c>
      <c r="H7" s="1">
        <v>541</v>
      </c>
      <c r="I7" s="14">
        <f>F7/H7</f>
        <v>6064.892838233417</v>
      </c>
      <c r="K7" s="16">
        <f t="shared" si="2"/>
        <v>2.2138366803389875E-2</v>
      </c>
      <c r="L7" s="1">
        <v>553</v>
      </c>
      <c r="M7" s="17">
        <f t="shared" si="3"/>
        <v>3660739.6882836013</v>
      </c>
      <c r="N7" s="18">
        <f t="shared" si="4"/>
        <v>6619.7824381258615</v>
      </c>
      <c r="O7" s="1" t="s">
        <v>4</v>
      </c>
      <c r="P7" s="6">
        <v>3383245</v>
      </c>
      <c r="Q7" s="24">
        <f t="shared" si="0"/>
        <v>1.5128231306538842E-2</v>
      </c>
      <c r="R7" s="25">
        <f>P7*(1+Q7)</f>
        <v>3434427.5129266912</v>
      </c>
    </row>
    <row r="8" spans="2:23" ht="15.5" x14ac:dyDescent="0.35">
      <c r="B8" s="1" t="s">
        <v>5</v>
      </c>
      <c r="C8" s="2">
        <v>2972460</v>
      </c>
      <c r="D8" s="2">
        <v>3712882</v>
      </c>
      <c r="E8" s="3">
        <f t="shared" si="1"/>
        <v>2.2491044197321175E-2</v>
      </c>
      <c r="F8" s="4">
        <f t="shared" si="5"/>
        <v>3969078.4724824</v>
      </c>
      <c r="G8" s="1">
        <v>6657.6</v>
      </c>
      <c r="H8" s="1">
        <v>591</v>
      </c>
      <c r="I8" s="14">
        <f>F8/H8</f>
        <v>6715.8688197671745</v>
      </c>
      <c r="K8" s="16">
        <f t="shared" si="2"/>
        <v>2.2491044197321175E-2</v>
      </c>
      <c r="L8" s="1">
        <v>616</v>
      </c>
      <c r="M8" s="17">
        <f t="shared" si="3"/>
        <v>4435956.2004479291</v>
      </c>
      <c r="N8" s="18">
        <f t="shared" si="4"/>
        <v>7201.2275981297553</v>
      </c>
      <c r="O8" s="1" t="s">
        <v>5</v>
      </c>
      <c r="P8" s="6">
        <v>4127351</v>
      </c>
      <c r="Q8" s="24">
        <f t="shared" si="0"/>
        <v>1.5753556602669416E-2</v>
      </c>
      <c r="R8" s="25">
        <f>P8*(1+Q8)</f>
        <v>4192371.457597584</v>
      </c>
    </row>
    <row r="9" spans="2:23" ht="15.5" x14ac:dyDescent="0.35">
      <c r="B9" s="1" t="s">
        <v>6</v>
      </c>
      <c r="C9" s="2">
        <v>2690360</v>
      </c>
      <c r="D9" s="2">
        <v>3333437</v>
      </c>
      <c r="E9" s="3">
        <f t="shared" si="1"/>
        <v>2.1664223147987771E-2</v>
      </c>
      <c r="F9" s="4">
        <f t="shared" si="5"/>
        <v>3554813.3945690142</v>
      </c>
      <c r="G9" s="1">
        <v>6420</v>
      </c>
      <c r="H9" s="1">
        <v>545</v>
      </c>
      <c r="I9" s="14">
        <f t="shared" ref="I9:I10" si="6">F9/H9</f>
        <v>6522.5933845303016</v>
      </c>
      <c r="K9" s="16">
        <f t="shared" si="2"/>
        <v>2.1664223147987771E-2</v>
      </c>
      <c r="L9" s="1">
        <v>572</v>
      </c>
      <c r="M9" s="17">
        <f t="shared" si="3"/>
        <v>3956924.2383743552</v>
      </c>
      <c r="N9" s="18">
        <f t="shared" si="4"/>
        <v>6917.6997174376838</v>
      </c>
      <c r="O9" s="1" t="s">
        <v>6</v>
      </c>
      <c r="P9" s="6">
        <v>3530386</v>
      </c>
      <c r="Q9" s="24">
        <f t="shared" si="0"/>
        <v>1.3023707813364593E-2</v>
      </c>
      <c r="R9" s="25">
        <f t="shared" ref="R9" si="7">P9*(1+Q9)</f>
        <v>3576364.7157323929</v>
      </c>
    </row>
    <row r="10" spans="2:23" ht="15.5" x14ac:dyDescent="0.35">
      <c r="B10" s="1" t="s">
        <v>7</v>
      </c>
      <c r="C10" s="2">
        <v>1209260</v>
      </c>
      <c r="D10" s="2">
        <v>1511519</v>
      </c>
      <c r="E10" s="3">
        <f t="shared" si="1"/>
        <v>2.2561394157115444E-2</v>
      </c>
      <c r="F10" s="4">
        <f t="shared" si="5"/>
        <v>1616150.4506353715</v>
      </c>
      <c r="G10" s="1">
        <v>2183.3000000000002</v>
      </c>
      <c r="H10" s="1">
        <v>721</v>
      </c>
      <c r="I10" s="14">
        <f t="shared" si="6"/>
        <v>2241.5401534471171</v>
      </c>
      <c r="K10" s="16">
        <f t="shared" si="2"/>
        <v>2.2561394157115444E-2</v>
      </c>
      <c r="L10" s="1">
        <v>752</v>
      </c>
      <c r="M10" s="17">
        <f t="shared" si="3"/>
        <v>1806877.6637083788</v>
      </c>
      <c r="N10" s="18">
        <f t="shared" si="4"/>
        <v>2402.7628506760357</v>
      </c>
      <c r="O10" s="1" t="s">
        <v>7</v>
      </c>
      <c r="P10" s="6">
        <v>1783477</v>
      </c>
      <c r="Q10" s="24">
        <f t="shared" si="0"/>
        <v>1.8674912666414967E-2</v>
      </c>
      <c r="R10" s="25">
        <f>P10*(1+Q10)</f>
        <v>1816783.2772175597</v>
      </c>
    </row>
    <row r="11" spans="2:23" x14ac:dyDescent="0.35">
      <c r="G11" s="8" t="s">
        <v>8</v>
      </c>
      <c r="H11" s="22">
        <v>5447</v>
      </c>
      <c r="L11" s="6">
        <v>5604</v>
      </c>
    </row>
    <row r="12" spans="2:23" x14ac:dyDescent="0.35">
      <c r="D12" s="6"/>
      <c r="Q12" s="24" t="s">
        <v>22</v>
      </c>
    </row>
  </sheetData>
  <mergeCells count="1">
    <mergeCell ref="P2:W2"/>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Round 2 and 3</vt:lpstr>
    </vt:vector>
  </TitlesOfParts>
  <Company>IFPRI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IFPRI-Bangladesh</dc:creator>
  <cp:lastModifiedBy>Tanjim Islam</cp:lastModifiedBy>
  <dcterms:created xsi:type="dcterms:W3CDTF">2019-06-23T11:48:34Z</dcterms:created>
  <dcterms:modified xsi:type="dcterms:W3CDTF">2025-07-23T05:21:25Z</dcterms:modified>
</cp:coreProperties>
</file>