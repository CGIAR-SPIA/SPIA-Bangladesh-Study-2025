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SPIA Dropbox\SPIA General\SPIA 2019-2024\5. OBJ.3-Data collection\Country teams\Bangladesh\Stocktake and supporting documents\BIHS\Data\Codebook\"/>
    </mc:Choice>
  </mc:AlternateContent>
  <xr:revisionPtr revIDLastSave="0" documentId="13_ncr:1_{65CD6401-4F2E-449B-8D4E-403E20356318}" xr6:coauthVersionLast="47" xr6:coauthVersionMax="47" xr10:uidLastSave="{00000000-0000-0000-0000-000000000000}"/>
  <bookViews>
    <workbookView xWindow="-110" yWindow="-110" windowWidth="19420" windowHeight="10300" activeTab="1" xr2:uid="{00000000-000D-0000-FFFF-FFFF00000000}"/>
  </bookViews>
  <sheets>
    <sheet name="survey" sheetId="1" r:id="rId1"/>
    <sheet name="choices" sheetId="2" r:id="rId2"/>
    <sheet name="settings" sheetId="3" r:id="rId3"/>
    <sheet name="help-survey" sheetId="4" r:id="rId4"/>
    <sheet name="help-choices" sheetId="5" r:id="rId5"/>
    <sheet name="help-setting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2">
      <go:sheetsCustomData xmlns:go="http://customooxmlschemas.google.com/" r:id="rId10" roundtripDataChecksum="HzkYP4qg6rFFDpURkNdraWyS/Geo0k3DAUlWI6a+U78="/>
    </ext>
  </extLst>
</workbook>
</file>

<file path=xl/calcChain.xml><?xml version="1.0" encoding="utf-8"?>
<calcChain xmlns="http://schemas.openxmlformats.org/spreadsheetml/2006/main">
  <c r="C96" i="4" l="1"/>
  <c r="C2" i="3"/>
  <c r="B412" i="2"/>
  <c r="B413" i="2" s="1"/>
  <c r="B414" i="2" s="1"/>
  <c r="B411" i="2"/>
  <c r="B335" i="2"/>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34" i="2"/>
  <c r="B333" i="2"/>
  <c r="B121" i="2"/>
  <c r="B122" i="2" s="1"/>
  <c r="B115" i="2"/>
  <c r="B116" i="2" s="1"/>
  <c r="B117" i="2" s="1"/>
  <c r="B118" i="2" s="1"/>
  <c r="B111" i="2"/>
  <c r="B110" i="2"/>
  <c r="B101" i="2"/>
  <c r="B102" i="2" s="1"/>
  <c r="B103" i="2" s="1"/>
  <c r="B104" i="2" s="1"/>
  <c r="B105" i="2" s="1"/>
  <c r="B97" i="2"/>
  <c r="B96" i="2"/>
  <c r="B95" i="2"/>
  <c r="B94" i="2"/>
  <c r="B88" i="2"/>
  <c r="B89" i="2" s="1"/>
  <c r="B90" i="2" s="1"/>
  <c r="B83" i="2"/>
  <c r="B84" i="2" s="1"/>
  <c r="B82" i="2"/>
  <c r="B81" i="2"/>
  <c r="B80" i="2"/>
  <c r="B76" i="2"/>
  <c r="B70" i="2"/>
  <c r="B71" i="2" s="1"/>
  <c r="B72" i="2" s="1"/>
  <c r="B73" i="2" s="1"/>
  <c r="B67" i="2"/>
  <c r="B64" i="2"/>
  <c r="B63" i="2"/>
  <c r="B40" i="2"/>
  <c r="B41" i="2" s="1"/>
  <c r="B42" i="2" s="1"/>
  <c r="B43" i="2" s="1"/>
  <c r="B44" i="2" s="1"/>
  <c r="B45" i="2" s="1"/>
  <c r="B46" i="2" s="1"/>
  <c r="B47" i="2" s="1"/>
  <c r="B48" i="2" s="1"/>
  <c r="B49" i="2" s="1"/>
  <c r="B50" i="2" s="1"/>
  <c r="B51" i="2" s="1"/>
  <c r="B52" i="2" s="1"/>
  <c r="B53" i="2" s="1"/>
  <c r="B54" i="2" s="1"/>
  <c r="B55" i="2" s="1"/>
  <c r="B56" i="2" s="1"/>
  <c r="B57" i="2" s="1"/>
  <c r="B58" i="2" s="1"/>
  <c r="B59" i="2" s="1"/>
  <c r="B60" i="2" s="1"/>
  <c r="B39" i="2"/>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alcChain>
</file>

<file path=xl/sharedStrings.xml><?xml version="1.0" encoding="utf-8"?>
<sst xmlns="http://schemas.openxmlformats.org/spreadsheetml/2006/main" count="3085" uniqueCount="1624">
  <si>
    <t>type</t>
  </si>
  <si>
    <t>name</t>
  </si>
  <si>
    <t>label::English</t>
  </si>
  <si>
    <t>translation</t>
  </si>
  <si>
    <t>label::Bangla</t>
  </si>
  <si>
    <t>hint::English</t>
  </si>
  <si>
    <t>hint::Bangla</t>
  </si>
  <si>
    <t>default</t>
  </si>
  <si>
    <t>appearance</t>
  </si>
  <si>
    <t>constraint</t>
  </si>
  <si>
    <t>constraint message::English</t>
  </si>
  <si>
    <t>constraint message::Bangla</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</si>
  <si>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</si>
  <si>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</si>
  <si>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</si>
  <si>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</si>
  <si>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</si>
  <si>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</si>
  <si>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</si>
  <si>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</si>
  <si>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</si>
  <si>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</si>
  <si>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</si>
  <si>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</si>
  <si>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</si>
  <si>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</si>
  <si>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</si>
  <si>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</si>
  <si>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</si>
  <si>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end</t>
  </si>
  <si>
    <t>endtime</t>
  </si>
  <si>
    <t>deviceid</t>
  </si>
  <si>
    <t>phonenumber</t>
  </si>
  <si>
    <t>devicephonenum</t>
  </si>
  <si>
    <t>username</t>
  </si>
  <si>
    <t>calculate</t>
  </si>
  <si>
    <t>device_info</t>
  </si>
  <si>
    <t>device-info()</t>
  </si>
  <si>
    <t>duration</t>
  </si>
  <si>
    <t>duration()</t>
  </si>
  <si>
    <t>caseid</t>
  </si>
  <si>
    <t>audio audit</t>
  </si>
  <si>
    <t>audio_audit</t>
  </si>
  <si>
    <t>CALC: Audio audit</t>
  </si>
  <si>
    <t>p=15;d=300;s=</t>
  </si>
  <si>
    <t>text audit</t>
  </si>
  <si>
    <t>text_audit</t>
  </si>
  <si>
    <t>CALC: Text audit</t>
  </si>
  <si>
    <t>p=100</t>
  </si>
  <si>
    <t>select_one monitor</t>
  </si>
  <si>
    <t>monitorid</t>
  </si>
  <si>
    <t>Monitor's Name</t>
  </si>
  <si>
    <t>মনিটরের নাামঃ</t>
  </si>
  <si>
    <t>search('enum_spia')</t>
  </si>
  <si>
    <t>yes</t>
  </si>
  <si>
    <t>monitorname</t>
  </si>
  <si>
    <t>CALC: Name of Monitor</t>
  </si>
  <si>
    <t>pulldata('enum_spia', 'monitorname', 'monitorid', ${monitorid})</t>
  </si>
  <si>
    <t>select_one super</t>
  </si>
  <si>
    <t>superid</t>
  </si>
  <si>
    <t>Supervisor's Name</t>
  </si>
  <si>
    <t>সুপারভাইজারের নাামঃ</t>
  </si>
  <si>
    <t>search('enum_spia', 'matches', 'monitorid', ${monitorid})</t>
  </si>
  <si>
    <t>supername</t>
  </si>
  <si>
    <t>CALC: Name of Supervisor</t>
  </si>
  <si>
    <t>pulldata('enum_spia', 'supername', 'superid', ${superid})</t>
  </si>
  <si>
    <t>select_one enum</t>
  </si>
  <si>
    <t>enumid</t>
  </si>
  <si>
    <t>Enumerator's Name</t>
  </si>
  <si>
    <t>তথ্য সংগ্রহকারীর নামঃ</t>
  </si>
  <si>
    <t>search('enum_spia', 'matches', 'superid', ${superid})</t>
  </si>
  <si>
    <t>enumname</t>
  </si>
  <si>
    <t>CALC: Name of Enumerator</t>
  </si>
  <si>
    <t>pulldata('enum_spia', 'enumname', 'enumid', ${enumid})</t>
  </si>
  <si>
    <t>select_one dvcode</t>
  </si>
  <si>
    <t>a1division</t>
  </si>
  <si>
    <t>Name of division</t>
  </si>
  <si>
    <t>বিভাগ</t>
  </si>
  <si>
    <t>search('cc_roster')</t>
  </si>
  <si>
    <t>divisionname</t>
  </si>
  <si>
    <t>CALC: Name of division</t>
  </si>
  <si>
    <t>pulldata('cc_roster', 'div_name', 'dvcode', ${a1division})</t>
  </si>
  <si>
    <t>select_one dcode</t>
  </si>
  <si>
    <t>a1district</t>
  </si>
  <si>
    <t>Name of district</t>
  </si>
  <si>
    <t>জেলা</t>
  </si>
  <si>
    <t>search('cc_roster', 'matches', 'dvcode', ${a1division})</t>
  </si>
  <si>
    <t>districtname</t>
  </si>
  <si>
    <t>CALC: Name of district</t>
  </si>
  <si>
    <t>pulldata('cc_roster', 'District_Name', 'dcode', ${a1district})</t>
  </si>
  <si>
    <t>select_one uzcode</t>
  </si>
  <si>
    <t>a1upazila</t>
  </si>
  <si>
    <t>Name of upazila</t>
  </si>
  <si>
    <t xml:space="preserve">থানা/উপজেলা </t>
  </si>
  <si>
    <t>search('cc_roster', 'matches', 'dcode', ${a1district})</t>
  </si>
  <si>
    <t>upazilaname</t>
  </si>
  <si>
    <t>CALC: Name of upazila</t>
  </si>
  <si>
    <t>pulldata('cc_roster', 'Upazila_Name', 'uzcode', ${a1upazila})</t>
  </si>
  <si>
    <t>select_one uncode</t>
  </si>
  <si>
    <t>a1union</t>
  </si>
  <si>
    <t>Name of union</t>
  </si>
  <si>
    <t>ইউনিয়ন</t>
  </si>
  <si>
    <t>search('cc_roster', 'matches', 'uzcode', ${a1upazila})</t>
  </si>
  <si>
    <t>unionname</t>
  </si>
  <si>
    <t>CALC: Name of union</t>
  </si>
  <si>
    <t>pulldata('cc_roster', 'Union_Name', 'uncode', ${a1union})</t>
  </si>
  <si>
    <t>select_one mzcode</t>
  </si>
  <si>
    <t>a1mouza</t>
  </si>
  <si>
    <t>Name of mouza</t>
  </si>
  <si>
    <t>মৌজা</t>
  </si>
  <si>
    <t>search('cc_roster', 'matches', 'uncode', ${a1union})</t>
  </si>
  <si>
    <t>mouzaname</t>
  </si>
  <si>
    <t>CALC: Name of mouza</t>
  </si>
  <si>
    <t>pulldata('cc_roster', 'mouza_name', 'mzcode', ${a1mouza})</t>
  </si>
  <si>
    <t>select_one vcode</t>
  </si>
  <si>
    <t>a1village</t>
  </si>
  <si>
    <t>Name of village</t>
  </si>
  <si>
    <t>গ্রাম</t>
  </si>
  <si>
    <t>search('cc_roster', 'matches', 'mzcode', ${a1mouza})</t>
  </si>
  <si>
    <t>villagename</t>
  </si>
  <si>
    <t>CALC: Name of village</t>
  </si>
  <si>
    <t>pulldata('cc_roster', 'village_name', 'vcode', ${a1village})</t>
  </si>
  <si>
    <t>integer</t>
  </si>
  <si>
    <t>a1village_pop</t>
  </si>
  <si>
    <t>Village population in 2024</t>
  </si>
  <si>
    <t xml:space="preserve">2024* সালে গ্রামের লোক সংখ্যা </t>
  </si>
  <si>
    <t>(This information can be obtained from the census (district level books) or from one of the local offices; so it may not be necessary to interview a key informant for this.</t>
  </si>
  <si>
    <t>2024* সালে গ্রামের লোক সংখ্যা (এই তথ্য আদমশুমারি (জেলা পর্যায়ের বই) অথবা স্থানীয় কোন অফিস থেকে যোগাড় করা যেতে পারে; তাই গুরুত্বপূর্ণ/মূল তথ্যদাতার কাছ থেকে এই তথ্য নেওয়ার প্রয়োজন নাও হতে পারে।)</t>
  </si>
  <si>
    <t>.&gt;=0</t>
  </si>
  <si>
    <t>এটি 0-এর কম হতে পারে না।</t>
  </si>
  <si>
    <t>a1num_hh</t>
  </si>
  <si>
    <t>Number of households in the village:</t>
  </si>
  <si>
    <t>গ্রামে খানার সংখ্যা</t>
  </si>
  <si>
    <t>consent_note</t>
  </si>
  <si>
    <t xml:space="preserve"> My name is …. I am an employee of the Data Analysis and Technical Assistance Limited (DATA), a Bangladeshi research organization based in Dhaka. Thanks for talking to me today.
Together with the Standing Panel for Impact Assessment (SPIA), Tufts University (USA) and International Food Policy Research Institute (IFPRI), we are conducting a further round of the BIHS (Bangladesh Integrated Household Survey) that your village had participated in 2018-2019. This survey will provide researchers at Tufts University, SPIA and IFPRI with necessary information to carry out research that is designed to help promote the welfare of Bangladeshis; particularly, to enhance agricultural development, improve food consumption and nutrition of the people. &lt;br&gt;
The study involves: &lt;br&gt;
- Participating in a survey for approximately 2 hours of your time to collect all the information pertaining to the infrastructure, agricultural practices, seed and fish dealing information and access to safety net programs in your village &lt;br&gt;
-The study will be in the form of a group survey/interview &lt;br&gt;
Who do I talk to if I have questions? &lt;br&gt;
If you have questions, concerns, or have experienced a research-related injury, contact the research team at: &lt;br&gt; 
Kyle Emerick &lt;br&gt;
+1 (617) 627-6972 &lt;br&gt;
Kyle.emerick@tufts.edu &lt;br&gt;
 Akhter Ahmed &lt;br&gt;
+880 1760-744-486 &lt;br&gt;
a.ahmed@cgiar.org &lt;br&gt;
Within Bangladesh, you may contact Md. Fuad Hasan at the Bangladesh Agricultural University. His contact details are:  &lt;br&gt;
Md. Fuad Hasan &lt;br&gt;
+880 17 8268 2803 &lt;br&gt;
f.hassan@cgiar.org &lt;br&gt;</t>
  </si>
  <si>
    <t>অবহিত সম্মতি পত্র &lt;br&gt;
আমার নাম …. । আমি ডাটা এ্যানালাইসিস এন্ড টেকনিক্যাল এ্যাসিষ্ট্যান্স লিমিটেড (DATA) নামক ঢাকা ভিত্তিক একটি গবেষণা/জরিপ প্রতিষ্ঠানে কাজ করি, আজ আমার সাথে কথা বলার জন্য আপনাকে ধন্যবাদ। &lt;br&gt;
2018-2019 সালে BIHS (Bangladesh Integrated Household Survey) নামে একটি জরিপে আপনি অংশগ্রহণ করেছিলেন সেই জরিপেরই আরও একটি রাউন্ড পরিচালনা করার জন্য  আমরা স্ট্যান্ডিং প্যানেল ফর ইমপ্যাক্ট অ্যাসেসমেন্ট (SPIA), Tufts University (USA) এবং আর্ন্তজাতিক খাদ্যনীতি গবেষণা সংস্থা (IFPRI) এর সাথে যৌথভাবে এই জরিপটি পরিচালনা করছি। এই জরিপটি Tufts University, SPIA এবং আর্ন্তজাতিক খাদ্যনীতি গবেষণা সংস্থা (IFPRI) এর গবেষকদের গবেষণা চালাতে প্রয়োজনীয় তথ্য সরবরাহ করবে যা বাংলাদেশিদের কল্যাণে সাহায্য করার জন্য প্রনীত হয়েছে; বিশেষ করে, কৃষি উন্নয়ন, জনগনের খাদ্য ভোগ এবং পুষ্টির অবস্থার উন্নয়ন এর লক্ষ্য নিয়ে প্রণয়ন করা হয়েছে। &lt;br&gt;
 এই গবেষণা/জরিপের সাথে সম্পর্কিত:  &lt;br&gt;
- আপনার গ্রামের অবকাঠামো, কৃষি পদ্ধতি, বীজ এবং মাছের ব্যবসা সংক্রান্ত তথ্য এবং সামাজিক নিরাপত্তা কর্মসূচির সুযোগ (অ্যাক্সেস) সংক্রান্ত সমস্ত তথ্য সংগ্রহ করার জন্য আপনার এই ইন্টারভিউ নিতে আনুমানিক 2 ঘন্টা সময় লাগবে। &lt;br&gt;
এই গবেষণা/জরিপে অংশগ্রহণের জন্য, আপনার বয়স কমপক্ষে ১৮ বছর হতে হবে। আপনি কি এই জরিপে অংশগ্রহণ করতে করতে চান? &lt;br&gt;
আপনার কোন প্রশ্ন থাকলে আপনি কার সাথে কথা বলবেন?&lt;br&gt;
আপনার যদি জরিপ-সম্পর্কিত কোন প্রশ্ন, উদ্বেগ থাকে বা কোনো গবেষণা-সম্পর্কিত আঘাত বোধ করেন, এই গবেষণার সাথে জড়িত নিচে উল্লেখিত ব্যক্তিদের সাথে যোগাযোগ করুন: &lt;br&gt;
Kyle Emerick &lt;br&gt;
+1 (617) 627-6972 &lt;br&gt;
Kyle.emerick@tufts.edu &lt;br&gt;
 Akhter Ahmed &lt;br&gt;
+880 1760-744-486 &lt;br&gt;
a.ahmed@cgiar.org &lt;br&gt;
বাংলাদেশের মধ্যে, আপনি বাংলাদেশ কৃষি বিশ্ববিদ্যালয়ে মোঃ ফুয়াদ হাসানের সাথে যোগাযোগ করতে পারেন। তার যোগাযোগের বিবরণ হল:&lt;br&gt;
Md. Fuad Hasan &lt;br&gt;
+880 17 8268 2803 &lt;br&gt;
f.hassan@cgiar.org &lt;br&gt;</t>
  </si>
  <si>
    <t>num_respondent</t>
  </si>
  <si>
    <t>What is the number of respondents</t>
  </si>
  <si>
    <t>উত্তরদাতাদের সংখ্যা কত</t>
  </si>
  <si>
    <t>begin repeat</t>
  </si>
  <si>
    <t>module_a2</t>
  </si>
  <si>
    <t>Module A2: Respondent identification</t>
  </si>
  <si>
    <t>Module A2: উত্তরদাতার পরিচিতি:</t>
  </si>
  <si>
    <t>${num_respondent}</t>
  </si>
  <si>
    <t>text</t>
  </si>
  <si>
    <t>a2resp_name</t>
  </si>
  <si>
    <t>Name of the Respondent</t>
  </si>
  <si>
    <t>উত্তরদাতাদের নাম</t>
  </si>
  <si>
    <t>select_one yesno</t>
  </si>
  <si>
    <t>a2consent</t>
  </si>
  <si>
    <t xml:space="preserve"> Are you interested in participating in this study?</t>
  </si>
  <si>
    <t xml:space="preserve">আপনি কি এই জরিপে অংশগ্রহণ করতে সম্মত আছেন (অংশগ্রহণ করতে চান)?  </t>
  </si>
  <si>
    <t>select_one gender</t>
  </si>
  <si>
    <t>a2gender</t>
  </si>
  <si>
    <t>Sex of the Respondent</t>
  </si>
  <si>
    <t>উত্তরদাতার লিঙ্গ</t>
  </si>
  <si>
    <t>selected(${a2consent}, '1')</t>
  </si>
  <si>
    <t>a2age</t>
  </si>
  <si>
    <t>Age of the respondent</t>
  </si>
  <si>
    <t xml:space="preserve">উত্তরদাতার বয়স (বছর) 
</t>
  </si>
  <si>
    <t>.&gt;=18</t>
  </si>
  <si>
    <t>এটি 18-এর কম হতে পারে না।</t>
  </si>
  <si>
    <t>select_one occupation</t>
  </si>
  <si>
    <t>a2occupation</t>
  </si>
  <si>
    <t>Occupation of the Respondent</t>
  </si>
  <si>
    <t>উত্তরদাতার পেশা</t>
  </si>
  <si>
    <t>a2occupation_oth</t>
  </si>
  <si>
    <t>Specify other</t>
  </si>
  <si>
    <t>অন্যান্য(উল্লেখ করুন)</t>
  </si>
  <si>
    <t>${a2occupation}=-96</t>
  </si>
  <si>
    <t>a2phone_num</t>
  </si>
  <si>
    <t>Mobile number of the respondent</t>
  </si>
  <si>
    <t>ফোন নম্বর</t>
  </si>
  <si>
    <t>This phone number must contain 11 digits.</t>
  </si>
  <si>
    <t>ফোন নম্বরটি ১১ ডিজিটের হবে।</t>
  </si>
  <si>
    <t>(regex(.,'(^([0]{1})([1]{1})([3-9]{1})([0-9]{8}$))'))</t>
  </si>
  <si>
    <t>This phone number is not correct</t>
  </si>
  <si>
    <t>এই ফোন নাম্বারটি সঠিক নয়।</t>
  </si>
  <si>
    <t>end repeat</t>
  </si>
  <si>
    <t>select_multiple service</t>
  </si>
  <si>
    <t>b_service</t>
  </si>
  <si>
    <t>Which of the services are available in the village?</t>
  </si>
  <si>
    <t>গ্রামে নিচের কোন কোন সেবা পাওয়া যায়?</t>
  </si>
  <si>
    <t>b_service_repeat</t>
  </si>
  <si>
    <t>Module B: Infrastructure and Access to Facilities</t>
  </si>
  <si>
    <t>count-selected(${b_service})</t>
  </si>
  <si>
    <t>b_service_index</t>
  </si>
  <si>
    <t>The repeat number</t>
  </si>
  <si>
    <t>index()</t>
  </si>
  <si>
    <t>b_service_id</t>
  </si>
  <si>
    <t>Pull the name based on the position in the select_multiple response</t>
  </si>
  <si>
    <t>selected-at(${b_service}, index()-1)</t>
  </si>
  <si>
    <t>b_service_name</t>
  </si>
  <si>
    <t>Pull the name of the service</t>
  </si>
  <si>
    <t>jr:choice-name(${b_service_id}, '${b_service}')</t>
  </si>
  <si>
    <t>b_n_service</t>
  </si>
  <si>
    <t>how many?</t>
  </si>
  <si>
    <t>কতটি</t>
  </si>
  <si>
    <t>Service name: ${b_service_name}</t>
  </si>
  <si>
    <t>.&gt;=1</t>
  </si>
  <si>
    <t>এটি 1-এর কম হতে পারে না।</t>
  </si>
  <si>
    <t>b_service_year</t>
  </si>
  <si>
    <t>When did this service begin operating in your village?</t>
  </si>
  <si>
    <t>এই সেবাটি আপনার গ্রামে কবে (কোন সালে) চালু হয়েছে?</t>
  </si>
  <si>
    <t>.&gt;=1970 and .&lt;=2024</t>
  </si>
  <si>
    <t>The number cannot be below 1970 and above 2024</t>
  </si>
  <si>
    <t>[সীমাবদ্ধতা: সংখ্যাটি 1970 এর নীচে এবং 2024 এর উপরে হতে পারে না]</t>
  </si>
  <si>
    <t>b_farm_sch_topic</t>
  </si>
  <si>
    <t>Topics covered in farmer field school</t>
  </si>
  <si>
    <t>কৃষক মাঠ স্কুলে কোন বিষয়গুলি কভার করা হয়?</t>
  </si>
  <si>
    <t>selected(${b_service_id}, '21')</t>
  </si>
  <si>
    <t>geopoint</t>
  </si>
  <si>
    <t>b_service_gps</t>
  </si>
  <si>
    <t>GPS coordinates for facility in village (keep GPS accuracy below 5)</t>
  </si>
  <si>
    <t>গ্রামের এই সুবিধাটির GPS কো-অর্ডিনেটস</t>
  </si>
  <si>
    <t>Service name: ${b_service_name} &lt;br&gt; Please keep accuracy below 5 while taking GPS location</t>
  </si>
  <si>
    <t>Service name: ${b_service_name} &lt;br&gt; দয়া করে  জিপিএস নেয়ার সময় একুরেসি ৫ এর নিচে রাখুন</t>
  </si>
  <si>
    <t>selected(${b_service_id}, '1') or selected(${b_service_id}, '11') or selected(${b_service_id}, '12') or selected(${b_service_id}, '22') or selected(${b_service_id}, '23') or selected(${b_service_id}, '17') or selected(${b_service_id}, '18') or selected(${b_service_id}, '19')</t>
  </si>
  <si>
    <t>begin group</t>
  </si>
  <si>
    <t>mod_c</t>
  </si>
  <si>
    <t>Module C: Agricultural Practices</t>
  </si>
  <si>
    <t xml:space="preserve">Module C: কৃষির চর্চা </t>
  </si>
  <si>
    <t>c_note</t>
  </si>
  <si>
    <t>FGD with large farmer and seed dealers</t>
  </si>
  <si>
    <t>বড় কৃষক এবং বীজ ব্যবসায়ীদের সাথে সাক্ষাৎকার</t>
  </si>
  <si>
    <t>c_n_afp</t>
  </si>
  <si>
    <t>How many Axial Flow Pump (AFP) are there in the village?</t>
  </si>
  <si>
    <t>এই গ্রামে কয়টি Axial Flow Pump (AFP) আছে?</t>
  </si>
  <si>
    <t>সংখ্যা লিখুন। যদি না থেকে থাকে তবে 0 লিখুন</t>
  </si>
  <si>
    <t>c_n_llp</t>
  </si>
  <si>
    <t>How many low lift pump (LLP) are there in the village?</t>
  </si>
  <si>
    <t>এই গ্রামে কয়টি Low Lift Pump (LLP) আছে?</t>
  </si>
  <si>
    <t>c_n_stw</t>
  </si>
  <si>
    <t>How many shallow tube well (STW) are there in the village?</t>
  </si>
  <si>
    <t>এই গ্রামে কয়টি অগভীর নলকুপ (Shallow Tube Well) আছে?</t>
  </si>
  <si>
    <t>c_n_dtw</t>
  </si>
  <si>
    <t>How many deep tube well (DTW) are there in the village?</t>
  </si>
  <si>
    <t>এই গ্রামে কয়টি গভীর নলকুপ (Deep Tube Well) আছে?</t>
  </si>
  <si>
    <t>c_n_fert_drill</t>
  </si>
  <si>
    <t>How many Seeder fertilizer drill are there in the village?</t>
  </si>
  <si>
    <t>এই গ্রামে কয়টি সিডার এবং ফারটিলাইজার ড্রিলার আছে?</t>
  </si>
  <si>
    <t>It cannot be less than 0</t>
  </si>
  <si>
    <t>c_n_bed_plant</t>
  </si>
  <si>
    <t>How many Bed planters are there in the village?</t>
  </si>
  <si>
    <t>এই গ্রামে কয়টি Bed Planter আছে?</t>
  </si>
  <si>
    <t>c_n_reaper</t>
  </si>
  <si>
    <t>How many Reapers are there in the village?</t>
  </si>
  <si>
    <t>এই গ্রামে কয়টি শস্য কাটার যন্ত্র (রিপার) আছে?</t>
  </si>
  <si>
    <t>c_n_solar_pump</t>
  </si>
  <si>
    <t>How many solar pumps are there in the village?</t>
  </si>
  <si>
    <t>এই গ্রামে কয়টি সোলার পাম্প আছে?</t>
  </si>
  <si>
    <t>c_n_power_tiller</t>
  </si>
  <si>
    <t>How many power tillers are there in the village?</t>
  </si>
  <si>
    <t>এই গ্রামে কয়টি পাওয়ার টিলার আছে?</t>
  </si>
  <si>
    <t>c_n_tractor</t>
  </si>
  <si>
    <t>How many tractors are there in the village?</t>
  </si>
  <si>
    <t>এই গ্রামে কয়টি ট্রাক্টর আছে?</t>
  </si>
  <si>
    <t>c_n_thresher</t>
  </si>
  <si>
    <t>How many threshers are there in the village?</t>
  </si>
  <si>
    <t>এই গ্রামে কয়টি থ্রেসার (মাড়াই যন্ত্র) আছে?</t>
  </si>
  <si>
    <t>c_n_harvester</t>
  </si>
  <si>
    <t>How many harvesters are there in the village?</t>
  </si>
  <si>
    <t>এই গ্রামে কয়টি হার্ভেস্টার আছে?</t>
  </si>
  <si>
    <t>c_pc_awd</t>
  </si>
  <si>
    <t>What is the percentage of fields in the village that use Alternate Wetting and Drying (AWD)?</t>
  </si>
  <si>
    <t>এই গ্রামে কত শতাংশ জমি আছে যা কিনা পর্যায়ক্রমে জমিকে ভিজানো এবং শুকানো (AWD) সেচ পদ্ধতি ব্যবহার করে?</t>
  </si>
  <si>
    <t>শতাংশ লিখুন। যদি না থেকে থাকে তবে 0 লিখুন</t>
  </si>
  <si>
    <t>c_n_canal_irrigate</t>
  </si>
  <si>
    <t>Does the village have canal irrigation scheme (eg: GK, Borendro project)?</t>
  </si>
  <si>
    <t>এই গ্রাম কি ক্যানেল সেচের স্কীমের আওতায় আছে? (যেমন: GK, বরেন্দ্র প্রকল্প)?</t>
  </si>
  <si>
    <t>c_check_leaf_color</t>
  </si>
  <si>
    <t>Does anyone in the village check the color of the leaf of paddy  to apply fertilizer?</t>
  </si>
  <si>
    <t>আপনি বা আপনার গ্রামের কেউ ধানের পাতার রঙ দেখে সার প্রয়োগ করেন কী না?</t>
  </si>
  <si>
    <t>c_use_color_chart</t>
  </si>
  <si>
    <t>Do you use a color chart in this regard?</t>
  </si>
  <si>
    <t>সেক্ষেত্রে আপনি কোন কাগজের রঙয়ের চার্ট ব্যবহার করেন কী না?</t>
  </si>
  <si>
    <t>${c_check_leaf_color}=1</t>
  </si>
  <si>
    <t>c_n_supp_seed</t>
  </si>
  <si>
    <t>How many suppliers of seed are there?</t>
  </si>
  <si>
    <t>কতজন বীজ সরবরাহকারী আছে?</t>
  </si>
  <si>
    <t>select_one price_level</t>
  </si>
  <si>
    <t>c_price_level</t>
  </si>
  <si>
    <t>In the past 12 month, have the prices of seed remained stable, decreased, or increased?</t>
  </si>
  <si>
    <t>গত 12 মাসে, বীজের দাম কি স্থিতিশীল আছে, দাম কমেছে নাকি দাম বৃদ্ধি পেয়েছে?</t>
  </si>
  <si>
    <t>select_one ten_pc</t>
  </si>
  <si>
    <t>c_price_increase</t>
  </si>
  <si>
    <t xml:space="preserve">By how much have seed prices increased? </t>
  </si>
  <si>
    <t>বীজের দাম কতটা বেড়েছে?</t>
  </si>
  <si>
    <t>${c_price_level}=3</t>
  </si>
  <si>
    <t>c_price_decrease</t>
  </si>
  <si>
    <t>By how much have seed prices decreased?</t>
  </si>
  <si>
    <t>বীজের দাম কতটা কমেছে?</t>
  </si>
  <si>
    <t>${c_price_level}=2</t>
  </si>
  <si>
    <t>c_n_fish_supp</t>
  </si>
  <si>
    <t>How many suppliers of fish are there?</t>
  </si>
  <si>
    <t>এই গ্রামে কতজন মাছের সরবরাহকারী আছে?</t>
  </si>
  <si>
    <t>c_price_level_fish</t>
  </si>
  <si>
    <t>In the past 12 months, have the prices of fish remained stable, decreased, or increased?</t>
  </si>
  <si>
    <t>গত 12 মাসে মাছের দাম কি স্থিতিশীল আছে, দাম কমেছে নাকি দাম বৃদ্ধি পেয়েছে?</t>
  </si>
  <si>
    <t>c_price_increase_fi</t>
  </si>
  <si>
    <t xml:space="preserve">By how much have fish prices increased? </t>
  </si>
  <si>
    <t>মাছের দাম কতটা বেড়েছে?</t>
  </si>
  <si>
    <t>${c_price_level_fish}=3</t>
  </si>
  <si>
    <t>c_price_decrease_fi</t>
  </si>
  <si>
    <t>By how much have fish prices decreased?</t>
  </si>
  <si>
    <t>মাছের দাম কতটা কমেছে?</t>
  </si>
  <si>
    <t>${c_price_level_fish}=2</t>
  </si>
  <si>
    <t>machine_list</t>
  </si>
  <si>
    <t>'1 2'</t>
  </si>
  <si>
    <t>machine_name</t>
  </si>
  <si>
    <t>'Power tiller, Tractor'</t>
  </si>
  <si>
    <t>c_machine</t>
  </si>
  <si>
    <t>Machinery</t>
  </si>
  <si>
    <t>c_machine_index</t>
  </si>
  <si>
    <t>c_machine_id</t>
  </si>
  <si>
    <t>ID</t>
  </si>
  <si>
    <t>selected-at(${machine_list}, ${c_machine_index} - 1)</t>
  </si>
  <si>
    <t>c_machine_name</t>
  </si>
  <si>
    <t>Name</t>
  </si>
  <si>
    <t>item-at(',', ${machine_name}, ${c_machine_index} - 1)</t>
  </si>
  <si>
    <t>c_machine_note</t>
  </si>
  <si>
    <t>Now, I will ask you questions about ${c_machine_name}</t>
  </si>
  <si>
    <t>আমি এখন আপনাকে ${c_machine_name} এর ব্যাপারে জিজ্ঞেস করবো</t>
  </si>
  <si>
    <t>decimal</t>
  </si>
  <si>
    <t>c_rent_cost_mach</t>
  </si>
  <si>
    <t>What is the rental cost per acre?</t>
  </si>
  <si>
    <t>এই মেশিন প্রতি একর জমিতে ব্যবহার করার জন্য ভাড়া কত?</t>
  </si>
  <si>
    <t>Machine name: ${c_machine_name}</t>
  </si>
  <si>
    <t>.&gt;=0 and .&lt;=100000</t>
  </si>
  <si>
    <t>[Constraint: 0-100000]</t>
  </si>
  <si>
    <t>c_fuel_cost_mach</t>
  </si>
  <si>
    <t>What is the fuel cost per acre?</t>
  </si>
  <si>
    <t>এই মেশিন প্রতি একর জমিতে ব্যবহার করার জন্য জ্বালানী খরচ কত</t>
  </si>
  <si>
    <t>c_mach_cost_plant</t>
  </si>
  <si>
    <t>What is the machinery cost per acre for planting?</t>
  </si>
  <si>
    <t>রোপণের জন্য প্রতি একর জমিতে মেশিনারিজ/যন্ত্রপাতি ব্যবহার বাবদ খরচ কত?</t>
  </si>
  <si>
    <t>c_mach_cost_ferti</t>
  </si>
  <si>
    <t>What is the machinery cost per acre for fertilizer application?</t>
  </si>
  <si>
    <t>সার প্রয়োগের জন্য প্রতি একর জমিতে মেশিনারিজ/যন্ত্রপাতি ব্যবহার বাবদ খরচ কত?</t>
  </si>
  <si>
    <t>c_mach_cost_pest</t>
  </si>
  <si>
    <t>What is the machinery cost per acre for pesticide application?</t>
  </si>
  <si>
    <t>কীটনাশক প্রয়োগের জন্য প্রতি একর জমিতে মেশিনারিজ/যন্ত্রপাতি ব্যবহার বাবদ খরচ কত?</t>
  </si>
  <si>
    <t>c_mach_cost_weed</t>
  </si>
  <si>
    <t xml:space="preserve">What is the machinery cost per acre for weeding? </t>
  </si>
  <si>
    <t xml:space="preserve">ফসল কাটার জন্য প্রতি একর জমিতে মেশিনারিজ/যন্ত্রপাতি (কম্বাইন্ড হারভেস্টার) ব্যবহার বাবদ খরচ কত? </t>
  </si>
  <si>
    <t>c_mach_cost_har</t>
  </si>
  <si>
    <t xml:space="preserve"> What is the machinery cost per acre for harvesting? (combine harvester)</t>
  </si>
  <si>
    <t xml:space="preserve">ফসল কাটার জন্য প্রতি একর জমিতে মেশিনারিজ/যন্ত্রপাতি ব্যবহার বাবদ খরচ কত? </t>
  </si>
  <si>
    <t>c_mach_cost_reaper</t>
  </si>
  <si>
    <t xml:space="preserve"> What is the machinery cost per acre for harvesting?  (reaper)</t>
  </si>
  <si>
    <t>ফসল কাটার জন্য প্রতি একর জমিতে মেশিনারিজ/যন্ত্রপাতি (রিপার) ব্যবহার বাবদ খরচ কত?</t>
  </si>
  <si>
    <t>c_season_enum</t>
  </si>
  <si>
    <t>Enum instructions</t>
  </si>
  <si>
    <t>তথ্য সংগ্রহকারীর জন্যঃ এখন তিন মৌসুমে শ্রমের মজুরির ব্যাপারে প্রশ্ন আসবে</t>
  </si>
  <si>
    <t>season_list</t>
  </si>
  <si>
    <t>'1 2 3'</t>
  </si>
  <si>
    <t>c_name_list</t>
  </si>
  <si>
    <t>'Aman 2023, Aus 2023, Boro 2023'</t>
  </si>
  <si>
    <t>c_season_repeat</t>
  </si>
  <si>
    <t>Season repeat for wage questions</t>
  </si>
  <si>
    <t>c_season_index</t>
  </si>
  <si>
    <t>c_season_id</t>
  </si>
  <si>
    <t>ID of the season</t>
  </si>
  <si>
    <t>selected-at(${season_list}, ${c_season_index} - 1)</t>
  </si>
  <si>
    <t>c_season_name</t>
  </si>
  <si>
    <t>Name of the season</t>
  </si>
  <si>
    <t>item-at(',', ${c_name_list}, ${c_season_index} - 1)</t>
  </si>
  <si>
    <t>c_season_note</t>
  </si>
  <si>
    <t>Now, I will ask you questions about ${c_season_name}</t>
  </si>
  <si>
    <t>আমি এখন আপনাকে ${c_season_name} এ  শ্রমের মজুরির ব্যাপারে জিজ্ঞেস করবো</t>
  </si>
  <si>
    <t>c_wage_sowing</t>
  </si>
  <si>
    <t>Sowing wage</t>
  </si>
  <si>
    <t>রোপন/বপনের সময়</t>
  </si>
  <si>
    <t>select_one lab_avail</t>
  </si>
  <si>
    <t>c_lab_avail_sow</t>
  </si>
  <si>
    <t>Availability of labourers compared to demand</t>
  </si>
  <si>
    <t>প্রয়োজনমত মজুরের প্রাপ্যতা</t>
  </si>
  <si>
    <t>c_lab_hours_sow</t>
  </si>
  <si>
    <t>Daily hours of work</t>
  </si>
  <si>
    <t>দৈনিক কত ঘন্টা কাজ করে</t>
  </si>
  <si>
    <t>not(selected(${c_lab_avail_sow}, '-98'))</t>
  </si>
  <si>
    <t>c_lab_wage_sow</t>
  </si>
  <si>
    <t xml:space="preserve">Daily wage </t>
  </si>
  <si>
    <t>দৈনিক মজুরী (টাকা)</t>
  </si>
  <si>
    <t>c_lab_food_sow</t>
  </si>
  <si>
    <t>Daily food cost (Tk)</t>
  </si>
  <si>
    <t>দৈনিক খাবার খরচ (টাকা)</t>
  </si>
  <si>
    <t>c_contract_sow</t>
  </si>
  <si>
    <t>Contractual per acre cost (Tk)</t>
  </si>
  <si>
    <t>চুক্তি ভিত্তিক, একর প্রতি মোট খরচের পরিমান (টাকা)</t>
  </si>
  <si>
    <t>end group</t>
  </si>
  <si>
    <t>c_wage_weed</t>
  </si>
  <si>
    <t>weeding wage</t>
  </si>
  <si>
    <t>নিড়ানীর সময়</t>
  </si>
  <si>
    <t>c_lab_avail_weed</t>
  </si>
  <si>
    <t>c_lab_hours_weed</t>
  </si>
  <si>
    <t>not(selected(${c_lab_avail_weed}, '-98'))</t>
  </si>
  <si>
    <t>c_lab_wage_weed</t>
  </si>
  <si>
    <t>c_lab_food_weed</t>
  </si>
  <si>
    <t>c_contract_weed</t>
  </si>
  <si>
    <t>c_wage_harvest</t>
  </si>
  <si>
    <t>Harvesting wage</t>
  </si>
  <si>
    <t>ফসল কাটার সময়</t>
  </si>
  <si>
    <t>c_lab_avail_harv</t>
  </si>
  <si>
    <t>c_lab_hours_harv</t>
  </si>
  <si>
    <t>not(selected(${c_lab_avail_harv}, '-98'))</t>
  </si>
  <si>
    <t>c_lab_wage_harv</t>
  </si>
  <si>
    <t>c_lab_food_harv</t>
  </si>
  <si>
    <t>c_contract_harv</t>
  </si>
  <si>
    <t>d_pres_dealer</t>
  </si>
  <si>
    <t>Does this village have any seed dealer?</t>
  </si>
  <si>
    <t>এই গ্রামে কি কোন বীজ ডিলার আছে?</t>
  </si>
  <si>
    <t>mod_d</t>
  </si>
  <si>
    <t>Module D1. Seed dealer</t>
  </si>
  <si>
    <t>Module D1. বীজের ডিলার</t>
  </si>
  <si>
    <t>${d_pres_dealer}=1</t>
  </si>
  <si>
    <t>d1note</t>
  </si>
  <si>
    <t xml:space="preserve">(recall period: Last 12 months, February 2023 to January 2024) &lt;br&gt; Note: We interview the seed dealer or seed vendor from whom of most of the farmers of this village have purchased seeds of crop (including rice seeds). </t>
  </si>
  <si>
    <t>সময়কাল: শেষ 12 মাস, ফেব্রুয়ারি 2023 থেকে জানুয়ারী 2024 &lt;br&gt; নোট: আমরা সেই বীজ ডিলার বা বীজ বিক্রেতার [তিনি গ্রামের বাসিন্দা হবেন] সাক্ষাৎকার নিব যার কাছ থেকে এই গ্রামের অধিকাংশ কৃষক ফসলের বীজ (ধানের বীজ সহ) কিনেছেন/এমন বীজ ডিলার/বীজ বিক্রেতা [গ্রামের বাসিন্দা] কিন্তু তিনি গ্রামের বাইরে ব্যবসা করেন।।</t>
  </si>
  <si>
    <t>d1seed_dealer</t>
  </si>
  <si>
    <t>Name of the Seed dealer</t>
  </si>
  <si>
    <t>বীজ ডিলার/বীজ ব্যবসায়ীর নাম?</t>
  </si>
  <si>
    <t>d1address</t>
  </si>
  <si>
    <t>Business location of the seed dealer/ trader</t>
  </si>
  <si>
    <t>এই বীজ ডিলার/বীজ ব্যবসায়ীর ব্যবসা প্রতিষ্ঠানের লোকেশন?</t>
  </si>
  <si>
    <t>d1address_gps</t>
  </si>
  <si>
    <t>Take GPS of the business location</t>
  </si>
  <si>
    <t>এই বীজ ডিলার/বীজ ব্যবসায়ীর ব্যবসা প্রতিষ্ঠানের লোকেশনের জিপিএস</t>
  </si>
  <si>
    <t>Please keep accuracy below 5 while taking GPS location</t>
  </si>
  <si>
    <t>দয়া করে  জিপিএস নেয়ার সময় একুরেসি ৫ এর নিচে রাখুন</t>
  </si>
  <si>
    <t>d1distance</t>
  </si>
  <si>
    <t>Distance from survey village [meters]</t>
  </si>
  <si>
    <t>জরীপ গ্রাম থেকে বীজের ডিলার/বীজ ব্যবসা প্রতিষ্ঠানের দুরত্ব? [meters]</t>
  </si>
  <si>
    <t>select_one farmer_served</t>
  </si>
  <si>
    <t>d1farmer_served</t>
  </si>
  <si>
    <t>Farmers to which areas do you sell your product</t>
  </si>
  <si>
    <t>আপনি (বীজ ডিলার/ব্যবসায়ী) কোন এলাকার চাষিদের কাছে বীজ বিক্রয় করেন?</t>
  </si>
  <si>
    <t>select_one dealer_type</t>
  </si>
  <si>
    <t>d1dealer_type</t>
  </si>
  <si>
    <t>What type of seed dealer are you?</t>
  </si>
  <si>
    <t xml:space="preserve">আপনি কোন ধরনের বীজ ডিলার/বীজ ব্যবসায়ী? </t>
  </si>
  <si>
    <t>select_multiple other_input</t>
  </si>
  <si>
    <t>d1other_input</t>
  </si>
  <si>
    <t>What other inputs do you sell in your shop besides seed?</t>
  </si>
  <si>
    <t>আপনি আপনার দোকানে বীজের পাশাপাশি অন্য কী কী কৃষি উপকরন (ইনপুট) বিক্রি করেন?</t>
  </si>
  <si>
    <t>d1other_input_oth</t>
  </si>
  <si>
    <t>selected(${d1other_input}, '-96')</t>
  </si>
  <si>
    <t>select_multiple type_seed</t>
  </si>
  <si>
    <t>d1type_seed</t>
  </si>
  <si>
    <t>What type of seeds did you sell during the past 12 months?</t>
  </si>
  <si>
    <t>আপনি গত 12 মাসে কী কী ধরনের বীজ বিক্রি করেছেন?</t>
  </si>
  <si>
    <t>d1type_seed_oth</t>
  </si>
  <si>
    <t>selected(${d1type_seed}, '-96')</t>
  </si>
  <si>
    <t>select_multiple paddy</t>
  </si>
  <si>
    <t>d1paddy_variety</t>
  </si>
  <si>
    <t>If rice seed is sold, list the most popular varieties of rice seeds you sold in the last 12 months?</t>
  </si>
  <si>
    <t xml:space="preserve">ধান প্রজাতির নাম  </t>
  </si>
  <si>
    <t>Upto 5 most sold varieties.</t>
  </si>
  <si>
    <t>নোটঃ সর্বাধিক বিক্রিত 5 টি জাতের ধানের বীজের নাম উল্লেখ করুন।</t>
  </si>
  <si>
    <t>custom-table-list(delimiter='|', headers = 'English name, Bangla name')</t>
  </si>
  <si>
    <t>selected(${d1type_seed}, '1')</t>
  </si>
  <si>
    <t>d1paddyvariety_oth</t>
  </si>
  <si>
    <t>selected(${d1paddy_variety}, '-96')</t>
  </si>
  <si>
    <t>d1paddy_var_repeat</t>
  </si>
  <si>
    <t>Questions for paddy varieties</t>
  </si>
  <si>
    <t>count-selected(${d1paddy_variety})</t>
  </si>
  <si>
    <t>d1paddy_var_index</t>
  </si>
  <si>
    <t>d1paddy_var_id</t>
  </si>
  <si>
    <t>selected-at(${d1paddy_variety}, index()-1)</t>
  </si>
  <si>
    <t>d1paddyvar_name</t>
  </si>
  <si>
    <t>Pull the name of the variety</t>
  </si>
  <si>
    <t>jr:choice-name(${d1paddy_var_id}, '${d1paddy_variety}')</t>
  </si>
  <si>
    <t>d1paddyvar_note</t>
  </si>
  <si>
    <t>&lt;p&gt;&lt;span style="color:blue"&gt;Enumerator to respondent: "Now, I will ask you questions about &lt;b&gt; ${d1paddyvar_name} &lt;/b&gt; "&lt;/span&gt;</t>
  </si>
  <si>
    <t>&lt;p&gt;&lt;span style="color:blue"&gt;  তথ্য সংগ্রহকারী: "এখন, আমি আপনাকে &lt;b&gt; ${d1paddyvar_name} &lt;/b&gt; সম্পর্কে প্রশ্ন জিজ্ঞাসা করব।" &lt;/span&gt;</t>
  </si>
  <si>
    <t>d1sell_aman</t>
  </si>
  <si>
    <t>Did you sell this variety in the aman 2023 season?</t>
  </si>
  <si>
    <t>আমন ২০২৩-এ কি আপনি এই প্রজাতি বিক্রি করেছেন?</t>
  </si>
  <si>
    <t>Paddy variey: ${d1paddyvar_name}</t>
  </si>
  <si>
    <t>d1qty_pur_aman</t>
  </si>
  <si>
    <t>What was the quantity of rice seeds purchased in Aman 2023? [kg]</t>
  </si>
  <si>
    <t>আমন ২০২৩-এ এই জাতের ধানের বীজ কি পরিমান (কেজি) ক্রয় করেছিলেন?</t>
  </si>
  <si>
    <t>selected(${d1sell_aman}, '1')</t>
  </si>
  <si>
    <t>select_multiple seed_trait</t>
  </si>
  <si>
    <t>d1trait_aman</t>
  </si>
  <si>
    <t>Why did you mainly choose this variety in Aman 2023?</t>
  </si>
  <si>
    <t>আমন ২০২৩-এ আপনি প্রধানত কোন কারনে এই জাতটি পছন্দ করেছিলেন?</t>
  </si>
  <si>
    <t>d1trait_aman_oth</t>
  </si>
  <si>
    <t>selected(${d1trait_aman}, '-96')</t>
  </si>
  <si>
    <t>d1sell_aus</t>
  </si>
  <si>
    <t>Did you sell this variety in the aus 2023 season?</t>
  </si>
  <si>
    <t>আউস-2023-এ কি আপনি এই প্রজাতি বিক্রি করেছেন?</t>
  </si>
  <si>
    <t>d1qty_pur_aus</t>
  </si>
  <si>
    <t>What was the quantity of rice seeds purchased in Aus 2023? [kg]</t>
  </si>
  <si>
    <t>আউস-2023-এ এই জাতের ধানের বীজ কি পরিমান (কেজি) ক্রয় করেছিলেন?</t>
  </si>
  <si>
    <t>selected(${d1sell_aus}, '1')</t>
  </si>
  <si>
    <t>d1trait_aus</t>
  </si>
  <si>
    <t>Why did you mainly choose this variety in Aus 2023?</t>
  </si>
  <si>
    <t>আউস-2023-এ আপনি প্রধানত কোন কারনে এই জাতটি পছন্দ করেছিলেন?</t>
  </si>
  <si>
    <t>d1trait_aus_oth</t>
  </si>
  <si>
    <t>selected(${d1trait_aus}, '-96')</t>
  </si>
  <si>
    <t>d1sell_boro</t>
  </si>
  <si>
    <t>Did you sell this variety in the boro 2023 season?</t>
  </si>
  <si>
    <t>বোরো-2023-এ কি আপনি এই প্রজাতি বিক্রি করেছেন?</t>
  </si>
  <si>
    <t>d1qty_pur_boro</t>
  </si>
  <si>
    <t>What was the quantity of rice seeds purchased in boro 2023? [kg]</t>
  </si>
  <si>
    <t>বোরো-2023 এ এই জাতের ধানের বীজ কি পরিমান (কেজি) ক্রয় করেছিলেন?</t>
  </si>
  <si>
    <t>selected(${d1sell_boro}, '1')</t>
  </si>
  <si>
    <t>d1trait_boro</t>
  </si>
  <si>
    <t>Why did you mainly choose this variety in boro 2023?</t>
  </si>
  <si>
    <t>বোরো-2023-এ আপনি প্রধানত কোন কারনে এই জাতটি পছন্দ করেছিলেন?</t>
  </si>
  <si>
    <t>d1trait_boro_oth</t>
  </si>
  <si>
    <t>selected(${d1trait_boro}, '-96')</t>
  </si>
  <si>
    <t>select_one frequency</t>
  </si>
  <si>
    <t>d1fail_freq</t>
  </si>
  <si>
    <t>Did it happen that farmers wanted to buy certain type of rice seed and you failed to supply?</t>
  </si>
  <si>
    <t>এমন হয়েছে কি যে কৃষকরা কোন নির্দিষ্ট ধরনের ধানের বীজ কিনতে চেয়েছিল কিন্ত আপনি তা সরবরাহ করতে পারেন নি?</t>
  </si>
  <si>
    <t>d1fail_paddy</t>
  </si>
  <si>
    <t>If you failed to supply, which variety of rice seed you could not supply?</t>
  </si>
  <si>
    <t xml:space="preserve">যদি সরবরাহ করতে না পেরে থাকেন তবে কোন কোন ধরনের ধানের বীজ আপনি সরবরাহ করতে পারেন নি?
[একের অধিক উত্তর আসতে পারে]
</t>
  </si>
  <si>
    <t>not(selected(${d1fail_freq}, '1'))</t>
  </si>
  <si>
    <t>d1fail_paddy_oth</t>
  </si>
  <si>
    <t>selected(${d1fail_paddy}, '-96')</t>
  </si>
  <si>
    <t>select_one seed_source</t>
  </si>
  <si>
    <t>d1seed_source</t>
  </si>
  <si>
    <t>Where do you primarily purchase seeds from? (any crop)</t>
  </si>
  <si>
    <t xml:space="preserve">আপনি প্রধানত কোথা থেকে বীজ কিনেন?
(যে কোন ফসল)
</t>
  </si>
  <si>
    <t>d1seed_source_oth</t>
  </si>
  <si>
    <t>selected(${d1seed_source}, '-96')</t>
  </si>
  <si>
    <t>d1badc_distance</t>
  </si>
  <si>
    <t>If you bought from BADC outlet, how far was the location from your location? [meters]</t>
  </si>
  <si>
    <t>আপনি যদি বিএডিসি আউটলেট/ বিক্রয় কেন্দ্র থেকে বীজ কিনে থাকেন, আপনার অবস্থান থেকে বিএডিসি আউটলেটের অবস্থান কত দূর ছিল? [meters]</t>
  </si>
  <si>
    <t>selected(${d1seed_source}, '1')</t>
  </si>
  <si>
    <t>select_multiple seed_brand</t>
  </si>
  <si>
    <t>d1seed_brand</t>
  </si>
  <si>
    <t>Which brand of seeds did you purchase?</t>
  </si>
  <si>
    <t>আপনি কোন কোম্পানির/ ব্রান্ডের বীজ কিনেছেন?</t>
  </si>
  <si>
    <t>d1seed_brand_oth</t>
  </si>
  <si>
    <t>selected(${d1seed_brand}, '-96')</t>
  </si>
  <si>
    <t>d1seed_brand_ngo</t>
  </si>
  <si>
    <t>Other NGO (Specify)</t>
  </si>
  <si>
    <t>অন্যান্য NGO (উল্লেখ করুন)</t>
  </si>
  <si>
    <t>selected(${d1seed_brand}, '-86')</t>
  </si>
  <si>
    <t>select_multiple seed_package</t>
  </si>
  <si>
    <t>d1seed_package</t>
  </si>
  <si>
    <t>Did you buy the rice seeds in sack or packets or in bulk?</t>
  </si>
  <si>
    <t>আপনি ধানের বীজ বস্তায় বা প্যাকেট নাকি খোলা বীজ একসাথে অনেক পরিমানে কিনেছিলেন?</t>
  </si>
  <si>
    <t>d1seed_pack_oth</t>
  </si>
  <si>
    <t>selected(${d1seed_package}, '-96')</t>
  </si>
  <si>
    <t>d1pack_certified</t>
  </si>
  <si>
    <t>Enumerators: please check if “truthfully labelled” (Prottayito Beej) is written on the packets/sacks</t>
  </si>
  <si>
    <t>তথ্য সংগ্রহকারীগণ: যাচাই করে দেখুন যে প্যাকেট/বস্তাগুলি সমূহে "আসলেই লেবেলযুক্ত" (প্রত্যায়িত বীজ) কথাটি লেখা আছে কিনা্</t>
  </si>
  <si>
    <t>selected(${d1seed_package}, '1') or selected(${d1seed_package}, '2')</t>
  </si>
  <si>
    <t>d1typeseed_repeat</t>
  </si>
  <si>
    <t>Seed type repeat</t>
  </si>
  <si>
    <t>count-selected(${d1type_seed})</t>
  </si>
  <si>
    <t>d1typeseed_index</t>
  </si>
  <si>
    <t>d1typeseed_id</t>
  </si>
  <si>
    <t>selected-at(${d1type_seed}, index()-1)</t>
  </si>
  <si>
    <t>d1typeseed_name</t>
  </si>
  <si>
    <t>Pull the name of the season</t>
  </si>
  <si>
    <t>jr:choice-name(${d1typeseed_id}, '${d1type_seed}')</t>
  </si>
  <si>
    <t>d1exclude_oth</t>
  </si>
  <si>
    <t>not(selected(${d1typeseed_id}, '-96'))</t>
  </si>
  <si>
    <t>d1type_seed_note</t>
  </si>
  <si>
    <t>&lt;p&gt;&lt;span style="color:blue"&gt;Enumerator to respondent: "Now, I will ask you questions about seed type: &lt;b&gt; ${d1typeseed_name} &lt;/b&gt; "&lt;/span&gt;</t>
  </si>
  <si>
    <t>&lt;p&gt;&lt;span style="color:blue"&gt;  তথ্য সংগ্রহকারী: "এখন, আমি আপনাকে &lt;b&gt; ${d1typeseed_name} &lt;/b&gt; সম্পর্কে প্রশ্ন জিজ্ঞাসা করব।" &lt;/span&gt;</t>
  </si>
  <si>
    <t>d1all_variety</t>
  </si>
  <si>
    <t>Did you get all the types of ${d1typeseed_name} you wanted to purchase?</t>
  </si>
  <si>
    <t>আপনি ${d1typeseed_name}  যে যে জাতের বীজ কিনতে চেয়েছিলেন তার সব কয়টি ধরনের বীজ আপনি পেয়েছিলেন কি?</t>
  </si>
  <si>
    <t>select_one quality</t>
  </si>
  <si>
    <t>d1seed_quality</t>
  </si>
  <si>
    <t>How was the quality of the seeds you purchased?</t>
  </si>
  <si>
    <t xml:space="preserve">${d1typeseed_name} আপনার ক্রয় করা বীজের মান কেমন ছিল? </t>
  </si>
  <si>
    <t>d1reg_dealer</t>
  </si>
  <si>
    <t>Are you a registered dealer?</t>
  </si>
  <si>
    <t>আপনি কি কোন রেজিস্টার্ড বা নিবন্ধিত ডিলার/ ব্যবসায়ী?</t>
  </si>
  <si>
    <t>রেজিস্টার্ড বা নিবন্ধিত বলতে ব্যবসায়িক পণ্য বিক্রি করার অনুমতি</t>
  </si>
  <si>
    <t>select_multiple reg_point</t>
  </si>
  <si>
    <t>d1reg_point</t>
  </si>
  <si>
    <t>If yes, who did you get registered from?</t>
  </si>
  <si>
    <t>আপনি কোথা থেকে নিবন্ধন করেছেন?</t>
  </si>
  <si>
    <t>selected(${d1reg_dealer}, '1')</t>
  </si>
  <si>
    <t>d1reg_point_oth</t>
  </si>
  <si>
    <t>selected(${d1reg_point}, '-96')</t>
  </si>
  <si>
    <t xml:space="preserve">
</t>
  </si>
  <si>
    <t>e_pres_fish</t>
  </si>
  <si>
    <t>Does this village have any fish farmer/hatchery/nursery owner?</t>
  </si>
  <si>
    <t>এই গ্রামে কি কোন মাছ খামারকারী/নার্সারি/হ্যাচারি মালিক আছে?</t>
  </si>
  <si>
    <t>mod_e</t>
  </si>
  <si>
    <t>Module E. Fish Dealer</t>
  </si>
  <si>
    <t>Module E. মাছ ব্যবসায়ী ) (মৎস্য খামারকারী, ও রেনু ও পোনা বিক্রেতা</t>
  </si>
  <si>
    <t>${e_pres_fish}=1</t>
  </si>
  <si>
    <t>note_e</t>
  </si>
  <si>
    <t xml:space="preserve">(Recall period: last 12 months, from February 2023 to January 2024) &lt;br&gt;
Note: We will interview the most prominent fish dealer in the largest market of the village
</t>
  </si>
  <si>
    <t>(রিকল সময়কাল: গত 12 মাস, ফেব্রুয়ারি 2023 থেকে জানুয়ারী 2024 পর্যন্ত) &lt;br&gt; নোট: আমরা গ্রামের সবচেয়ে বড় বাজারের সবচেয়ে নামকরা মাছ ব্যবসায়ীর মৎস্য খামারকারী, ও রেনু ও পোনা বিক্রেতা) সাক্ষাৎকার নেব।</t>
  </si>
  <si>
    <t>e_fish_dealer</t>
  </si>
  <si>
    <t>Name of the fish dealer</t>
  </si>
  <si>
    <t>মাছের ডিলার/ব্যবসায়ীর নাম</t>
  </si>
  <si>
    <t>select_multiple fish_dealer_type</t>
  </si>
  <si>
    <t>e_fish_dealer_type</t>
  </si>
  <si>
    <t>Fish dealer type</t>
  </si>
  <si>
    <t>উত্তরদাতার ব্যবসার ধরণ [একাধিক হতে পারে]</t>
  </si>
  <si>
    <t>e_dealer_loc</t>
  </si>
  <si>
    <t>Business location of the fish dealer/ trader
(Take GPS location)</t>
  </si>
  <si>
    <t>এই মাছের ডিলার/ব্যবসায়ীর ব্যবসা প্রতিষ্ঠানের লোকেশন?</t>
  </si>
  <si>
    <t>e_dealer_gps</t>
  </si>
  <si>
    <t>GPS coordinates for business location of the dealer (keep GPS accuracy below 5)</t>
  </si>
  <si>
    <t xml:space="preserve"> জিপিএস কো-অরডিনেশন আপলোড করুন</t>
  </si>
  <si>
    <t>e_dealer_distance</t>
  </si>
  <si>
    <t>Distance from survey village (meters)</t>
  </si>
  <si>
    <t>জরীপ গ্রাম থেকে মাছের ডিলার/ব্যবসায়ীর ব্যবসা প্রতিষ্ঠানের দুরত্ব? (meter)</t>
  </si>
  <si>
    <t>select_one fisher_served</t>
  </si>
  <si>
    <t>e_fisher_served</t>
  </si>
  <si>
    <t xml:space="preserve">আপনি কোন এলাকার মৎস্য খামারিদের  কাছে মাছ বিক্রয় করেন? </t>
  </si>
  <si>
    <t>select_multiple fish_broad</t>
  </si>
  <si>
    <t>e_fish_species</t>
  </si>
  <si>
    <t>What species of fish did you sell in the last 12 months?</t>
  </si>
  <si>
    <t>আপনি গত 12 মাসে কোন প্রজাতির মাছ বিক্রি করেছেন?</t>
  </si>
  <si>
    <t>e_hatchery_rohu</t>
  </si>
  <si>
    <t>Is there any fish hatchery/nursery that sells Rohu?</t>
  </si>
  <si>
    <t>রুই বিক্রি করে এমন কোনো মাছের হ্যাচারি// নার্সারি আছে কি?</t>
  </si>
  <si>
    <t>e_hatchery_gthree</t>
  </si>
  <si>
    <t>Is there any fish hatchery/nursery that sells G3 Rohu?</t>
  </si>
  <si>
    <t>G3 রুই বিক্রি করে এমন কোনো মাছের হ্যাচারি/ নার্সারি আছে কি?</t>
  </si>
  <si>
    <t>selected(${e_hatchery_rohu}, '1')</t>
  </si>
  <si>
    <t>e_hh_gthree</t>
  </si>
  <si>
    <t>Have any households cultured G3 Rohu in the village that you know of?</t>
  </si>
  <si>
    <t xml:space="preserve">গ্রামে G3 রুই চাষ করেছে এমন কোন খানা সম্পর্কে আপনি জানেন কি? </t>
  </si>
  <si>
    <t>selected(${e_hatchery_gthree}, '1')</t>
  </si>
  <si>
    <t>e_hatchery_tilapia</t>
  </si>
  <si>
    <t>Is there any fish hatchery/nursery that sells Tilapia?</t>
  </si>
  <si>
    <t>তেলাপিয়া বিক্রি করে এমন কোনো মাছের হ্যাচারি/ নার্সারি আছে কি?</t>
  </si>
  <si>
    <t>e_hatchery_gift</t>
  </si>
  <si>
    <t>Is there any fish hatchery/nursery that sells GIFT Tilapia?</t>
  </si>
  <si>
    <t>GIFT তেলাপিয়া বিক্রি করে এমন কোনো মাছের হ্যাচারি/ নার্সারি আছে কি?</t>
  </si>
  <si>
    <t>selected(${e_hatchery_tilapia}, '1')</t>
  </si>
  <si>
    <t>e_hh_gift</t>
  </si>
  <si>
    <t xml:space="preserve">Have any households cultured GIFT Tilapia in the village that you know of? </t>
  </si>
  <si>
    <t xml:space="preserve">গ্রামে GIFT তেলাপিয়া চাষ করেছে এমন কোন খানা সম্পর্কে আপনি জানেন কি? </t>
  </si>
  <si>
    <t>selected(${e_hatchery_gift}, '1')</t>
  </si>
  <si>
    <t>e_all_fingerling</t>
  </si>
  <si>
    <t>Did you get all the types of fingerling you wanted to purchase?</t>
  </si>
  <si>
    <t>আপনি যে সকল ধরনের পোনা (ফিঙ্গারলিং) কিনতে চেয়েছিলেন সেই সকল ধরনের মাছের পোনা পেয়েছিলেন কি?</t>
  </si>
  <si>
    <t>selected(${e_fish_dealer_type}, '2')</t>
  </si>
  <si>
    <t>select_multiple fingerling_source</t>
  </si>
  <si>
    <t>e_fingerling_source</t>
  </si>
  <si>
    <t>Where do you primarily purchase fingerlings from? [Ask nursery owners]</t>
  </si>
  <si>
    <t>আপনি প্রধানত কোথা থেকে পোনা (ফিঙ্গারলিং) কিনেন?</t>
  </si>
  <si>
    <t>e_fl_address_own</t>
  </si>
  <si>
    <t>Address of the Dealer from own Upazilla</t>
  </si>
  <si>
    <t>নিজের উপজেলার মধ্যে ডিলারের ঠিকানা</t>
  </si>
  <si>
    <t>selected(${e_fingerling_source}, '1')</t>
  </si>
  <si>
    <t>e_fl_number_own</t>
  </si>
  <si>
    <t>Phone number of the Dealer from own Upazilla</t>
  </si>
  <si>
    <t xml:space="preserve"> নিজের উপজেলার মধ্যে ডিলারের ফোন নম্বর</t>
  </si>
  <si>
    <t>e_fl_distance_own</t>
  </si>
  <si>
    <t>How far is it from your location? (meters)</t>
  </si>
  <si>
    <t>নিজের উপজেলার মধ্যের ডিলার আপনার অবস্থান থেকে কত দূরে? (মিটারে)</t>
  </si>
  <si>
    <t>e_fl_address_out</t>
  </si>
  <si>
    <t>Address of the Dealer from other Upazilla</t>
  </si>
  <si>
    <t>নিজের উপজেলার বাইরের ডিলারের ঠিকানা</t>
  </si>
  <si>
    <t>selected(${e_fingerling_source}, '2')</t>
  </si>
  <si>
    <t>e_fl_number_out</t>
  </si>
  <si>
    <t>Phone number of the Dealer from other Upazilla</t>
  </si>
  <si>
    <t xml:space="preserve"> নিজের উপজেলার বাইরের ডিলারের ফোন নম্বর</t>
  </si>
  <si>
    <t>e_fl_distance_out</t>
  </si>
  <si>
    <t>নিজের উপজেলার বাইরের ডিলার আপনার অবস্থান থেকে কত দূরে? (মিটারে)</t>
  </si>
  <si>
    <t>e_fl_address_oth</t>
  </si>
  <si>
    <t>Address of the Dealer if others is selected</t>
  </si>
  <si>
    <t>আগের প্রশ্নে অন্যান্য সিলেক্ট করে থাকলে সেই ডিলারের ঠিকানা</t>
  </si>
  <si>
    <t>selected(${e_fingerling_source}, '-96')</t>
  </si>
  <si>
    <t>e_fl_number_oth</t>
  </si>
  <si>
    <t>Phone number of the Dealer if others is selected</t>
  </si>
  <si>
    <t>আগের প্রশ্নে অন্যান্য সিলেক্ট করে থাকলে সেই ডিলারের ফোন নম্বর</t>
  </si>
  <si>
    <t>e_fl_distance_oth</t>
  </si>
  <si>
    <t>How far is it from your location? (if others is selected) (meters)</t>
  </si>
  <si>
    <t>আগের প্রশ্নে অন্যান্য সিলেক্ট করে থাকলে সেই ডিলার আপনার অবস্থান থেকে কত দূরে? (মিটারে)</t>
  </si>
  <si>
    <t>select_one yesnona</t>
  </si>
  <si>
    <t>e_reg_dealer</t>
  </si>
  <si>
    <t>আপনি কি কোন রেজিস্টার্ড বা নিবন্ধিত ডিলার?</t>
  </si>
  <si>
    <t>e_fish_reg</t>
  </si>
  <si>
    <t>Who did you get registered from?</t>
  </si>
  <si>
    <t>selected(${e_reg_dealer}, '1')</t>
  </si>
  <si>
    <t>e_fish_reg_oth</t>
  </si>
  <si>
    <t>selected(${e_fish_reg}, '-96')</t>
  </si>
  <si>
    <t xml:space="preserve">Module E. Fish Dealer/(Bengali: Aratdar) </t>
  </si>
  <si>
    <t>mod_f</t>
  </si>
  <si>
    <t>Module F: NORM of Capturing Fisheries</t>
  </si>
  <si>
    <t>Module F: মাছ ধরার নিয়ম – রীতি সম্পর্কিত</t>
  </si>
  <si>
    <t>f_note</t>
  </si>
  <si>
    <t>Note: We will interview the most prominent fish dealer in the largest market of the village</t>
  </si>
  <si>
    <t xml:space="preserve">নোট: গ্রামের সবচেয়ে বড় বাজারের সবচেয়ে নামকরা মাছ ব্যবসায়ীর সাক্ষাৎকার আমরা নেব। অভয়াশ্রম বলতে নদী, হাওর-বাওড়, উপকূল/মোহনা, মুক্ত জলাশয়, সমুদ্র/সমুদ্র তীরবর্তী অঞ্চল যে সকল জায়গায় মাছ ধরার নিষেধাজ্ঞা প্রয়োগ করা হয়।  </t>
  </si>
  <si>
    <t>f_sanct_avail</t>
  </si>
  <si>
    <t>Is there any fish sanctuary in your village?</t>
  </si>
  <si>
    <t>আপনার গ্রামে কোন মৎস্য অভয়াশ্রম আছে কী?</t>
  </si>
  <si>
    <t>f_fishing_guard</t>
  </si>
  <si>
    <t>Does the village have fishing guards?</t>
  </si>
  <si>
    <t>এই গ্রামে মাছ ধরার কার্যক্রম নিয়ন্ত্রন করার জন্য কোন পাহারাদার/ চৌকিদার আছে কি?</t>
  </si>
  <si>
    <t>${f_sanct_avail}=1</t>
  </si>
  <si>
    <t>select_one sanct_dist</t>
  </si>
  <si>
    <t>f_sanctuary_dist</t>
  </si>
  <si>
    <t>Distance to nearest fish sanctuary (that is affected by fishing bans) (meters)</t>
  </si>
  <si>
    <t>নিকটতম মৎস্য অভয়াশ্রম দূরত্ব (যা মাছ ধরার নিষেধাজ্ঞা দ্বারা প্রভাবিত হয়) কত? (meters)</t>
  </si>
  <si>
    <t>f_ban_aware</t>
  </si>
  <si>
    <t>Are they aware of bans on fishing?</t>
  </si>
  <si>
    <t>এই গ্রামের মানুষ  কি মাছ ধরার উপর নিষেধাজ্ঞা সম্পর্কে জানেন?</t>
  </si>
  <si>
    <t>select_multiple fish_ban</t>
  </si>
  <si>
    <t>f_fish_ban</t>
  </si>
  <si>
    <t>Which bans are they aware of? (multiple choice)</t>
  </si>
  <si>
    <t>তারা মাছ ধরার উপর কোন নিষেধাজ্ঞা সম্পর্কে জানেন?</t>
  </si>
  <si>
    <t>Hint: Do not probe, ask them to list and see which ones they mention</t>
  </si>
  <si>
    <t>নোট: প্রোব করবেন না, উত্তরদাতাকে তালিকা করতে বলুন এবং দেখুন তিনি কোনটি উল্লেখ করেছে, তারা বলা উত্তর নির্বাচন করুন)</t>
  </si>
  <si>
    <t>selected(${f_ban_aware}, '1')</t>
  </si>
  <si>
    <t>f_fish_ban_oth</t>
  </si>
  <si>
    <t>selected(${f_fish_ban}, '-96')</t>
  </si>
  <si>
    <t>f_fishban_impact</t>
  </si>
  <si>
    <t>Is the community affected by the fishing bans?</t>
  </si>
  <si>
    <t>মাছ ধরার উপর নিষেধাজ্ঞা জনিত কারনে এলাকা/কমিউনিটির লোকজন প্রভাবিত (ক্ষতিগ্রস্ত) হয় কি?</t>
  </si>
  <si>
    <t>Hint: ask to indicate if particular people within the community are being affected</t>
  </si>
  <si>
    <t>নোট: এলাকার/ কমিউনিটির কোন সুনিদিষ্ট মানুষ এত প্রভাবিত হচ্ছে কিনা তা নির্দেশ/উল্লেখ করতে বলুন</t>
  </si>
  <si>
    <t>f_fish_sanct_rule</t>
  </si>
  <si>
    <t>Do you know the rules regarding the fish sanctuaries?</t>
  </si>
  <si>
    <t>মাছের অভয়াশ্রম  সংক্রান্ত নিয়ম সম্পর্কে আপনি জানেন কি?</t>
  </si>
  <si>
    <t>Hint: ask about what is permitted and prohibited to do in fish sanctuaries</t>
  </si>
  <si>
    <t>নোট: মৎস্য অভয়াশ্রম  কী করার অনুমতি আছে এবং কী করা নিষিদ্ধ সে সম্পর্কে জিজ্ঞাসা করুন</t>
  </si>
  <si>
    <t>select_one net_hole_size</t>
  </si>
  <si>
    <t>f_net_hole_size</t>
  </si>
  <si>
    <t>আপনি মাছ ধরার যে জাল ব্যবহার করেন বা আপনার এলাকায় যে জাল ব্যবহার করা হয় তার ফাঁস এর দৈর্ঘ্য কতো?</t>
  </si>
  <si>
    <t>selected(${f_fish_sanct_rule}, '1')</t>
  </si>
  <si>
    <t>f_part_iga</t>
  </si>
  <si>
    <t>Has anyone in the village received incentives to participate in Alternative Income Generating Activities?</t>
  </si>
  <si>
    <t>গ্রামের কেউ কি বিকল্প আয়-মূলক (জীবন- জীবিকা ধারনেরর জন্য মূল কাজের পাশাপাশি ভিন্ন কোন উপায়ে আয় হয় এমন) কার্যক্রমে অংশগ্রহণের জন্য প্রণোদনা পেয়েছে?</t>
  </si>
  <si>
    <t>f_part_eco</t>
  </si>
  <si>
    <t>Have you heard about or participated in ECO-Fish program?</t>
  </si>
  <si>
    <t>আপনি ইকো–ফিস প্রোগ্রাম সম্পর্কে শুনেছেন বা অংশগ্রহণ করেছেন কি?</t>
  </si>
  <si>
    <t>f_ban_compensate</t>
  </si>
  <si>
    <t>Has anyone in the village received monetary or in-kind compensation for fishing bans affecting their livelihoods?</t>
  </si>
  <si>
    <t>মাছ ধরার উপর নিষেধাজ্ঞার ফলে জীবিকা প্রভাবিত হওয়ার কারনে গ্রামের কেউ কোন আর্থিক বা দ্রব্যে ক্ষতিপূরণ পেয়েছেন কি?</t>
  </si>
  <si>
    <t>f_part_co_manage</t>
  </si>
  <si>
    <t>Does anyone in the village participate in co-management of capturing fisheries?</t>
  </si>
  <si>
    <t>গ্রামের কেউ কি মৎস্য আহরণের/মাছ ধরার সহ-ব্যবস্থাপনায় অংশগ্রহণ করে?</t>
  </si>
  <si>
    <t>mod_g1</t>
  </si>
  <si>
    <t>Module G1: The value of innovation in the community</t>
  </si>
  <si>
    <t>Module G1: কমিউনিটিতে উদ্ভাবনের মূল্য</t>
  </si>
  <si>
    <t>g1hear_salttol</t>
  </si>
  <si>
    <t>আপনি লবণ সহিষ্ণু ধানের জাত সম্পর্কে শুনেছেন কি?</t>
  </si>
  <si>
    <t>g1use_salttol</t>
  </si>
  <si>
    <t>have you or anyone you know used salt tolerant rice varieties?</t>
  </si>
  <si>
    <t>আপনি বা আপনার পরিচিত এই গ্রামের  কেউ কি লবণ সহিষ্ণু ধানের জাত চাষ করেছেন?</t>
  </si>
  <si>
    <t>selected(${g1hear_salttol}, '1')</t>
  </si>
  <si>
    <t>select_one change</t>
  </si>
  <si>
    <t>g1change_salt</t>
  </si>
  <si>
    <t>how does the yield changed due to this new variety?</t>
  </si>
  <si>
    <t>এই নতুন জাতের কারণে ফলন কীভাবে পরিবর্তিত হয়/হয়েছে?</t>
  </si>
  <si>
    <t>selected(${g1use_salttol}, '1')</t>
  </si>
  <si>
    <t>g1hear_drou_tol</t>
  </si>
  <si>
    <t>আপনি খরা সহিষ্ণু ধানের জাত সম্পর্কে শুনেছেন কি?</t>
  </si>
  <si>
    <t>g1_use_drou_tol</t>
  </si>
  <si>
    <t>have you or anyone you know used drought tolerant rice varieties?</t>
  </si>
  <si>
    <t>আপনি বা আপনার পরিচিত  এই গ্রামের কেউ কি খরা সহিষ্ণু ধানের জাত চাষ করেছেন?</t>
  </si>
  <si>
    <t>selected(${g1hear_drou_tol}, '1')</t>
  </si>
  <si>
    <t>g1change_droug</t>
  </si>
  <si>
    <t>how has the yield changed due to this new variety?</t>
  </si>
  <si>
    <t>selected(${g1_use_drou_tol}, '1')</t>
  </si>
  <si>
    <t>g1hear_awd</t>
  </si>
  <si>
    <t>Have you heard of Alternate Wetting and Drying (AWD)?</t>
  </si>
  <si>
    <t>পর্যায়ক্রমে জমিকে ভিজানো এবং শুকানো (AWD) সেচ পদ্ধতি সম্পর্কে আপনি শুনেছেন কি?</t>
  </si>
  <si>
    <t>g1use_awd</t>
  </si>
  <si>
    <t>have you or anyone you know used AWD?</t>
  </si>
  <si>
    <t>আপনি বা আপনার পরিচিত কেউ কি পর্যায়ক্রমে জমিকে ভিজানো এবং শুকানো (AWD) সেচ পদ্ধতি ব্যবহার করেছেন?</t>
  </si>
  <si>
    <t>selected(${g1hear_awd}, '1')</t>
  </si>
  <si>
    <t>g1change_awd</t>
  </si>
  <si>
    <t>এই নতুন (AWD) সেচ পদ্ধতির কারণে ফলন কীভাবে পরিবর্তিত হয়েছে?</t>
  </si>
  <si>
    <t>selected(${g1use_awd}, '1')</t>
  </si>
  <si>
    <t>g1changeawd_ener</t>
  </si>
  <si>
    <t>how has this changed the energy consumption in the field?</t>
  </si>
  <si>
    <t>এটি কীভাবে জমির শক্তি খরচ (Energy consumption) পরিবর্তন করেছে?</t>
  </si>
  <si>
    <t>g1hear_mechrental</t>
  </si>
  <si>
    <t>Have you heard of mechanization rental service systems?</t>
  </si>
  <si>
    <t>আপনি কৃষি যন্ত্রপাতি ভাড়া করার সিস্টেমের কথা শুনেছেন কি?</t>
  </si>
  <si>
    <t>have you or anyone you know used mechanization rental service systems?</t>
  </si>
  <si>
    <t>আপনি বা আপনার পরিচিত কেউ যন্ত্রপাতি ভাড়া পরিষেবা সিস্টেম ব্যবহার করেছেন কি?</t>
  </si>
  <si>
    <t>selected(${g1hear_mechrental}, '1')</t>
  </si>
  <si>
    <t>g1change_mech</t>
  </si>
  <si>
    <t>how has this changed the cost of producing crops?</t>
  </si>
  <si>
    <t>এটি কীভাবে ফসল উৎপাদনের খরচ পরিবর্তন করেছে?</t>
  </si>
  <si>
    <t>selected(${g1use_mechrental}, '1')</t>
  </si>
  <si>
    <t>g1hear_rohu</t>
  </si>
  <si>
    <t>Have you heard of G3 Rohu?</t>
  </si>
  <si>
    <t>আপনি G3 রুই সম্পর্কে শুনেছেন কি?</t>
  </si>
  <si>
    <t>g1use_rohu</t>
  </si>
  <si>
    <t>have you or anyone you know used G3 Rohu?</t>
  </si>
  <si>
    <t>আপনি বা আপনার পরিচিত কেউ কি G3 রুই চাষ করেছেন?</t>
  </si>
  <si>
    <t>selected(${g1hear_rohu}, '1')</t>
  </si>
  <si>
    <t>g1change_rohu</t>
  </si>
  <si>
    <t>how does the fish production change due to this new variety?</t>
  </si>
  <si>
    <t>এই নতুন জাতের কারণে রুই মাছের উৎপাদন কীভাবে পরিবর্তিত হয়/হয়েছে?</t>
  </si>
  <si>
    <t>selected(${g1use_rohu}, '1')</t>
  </si>
  <si>
    <t>g1hear_gift</t>
  </si>
  <si>
    <t>Have you heard of GIFT Telapia?</t>
  </si>
  <si>
    <t>আপনি GIFT তেলাপিয়া সম্পর্কে শুনেছেন কি?</t>
  </si>
  <si>
    <t>g1use_gift</t>
  </si>
  <si>
    <t>have you or anyone you know used GIFT Telapia?</t>
  </si>
  <si>
    <t>আপনি বা আপনার পরিচিত কেউ কি GIFT তেলাপিয়া চাষ করেছেন?</t>
  </si>
  <si>
    <t>selected(${g1hear_gift}, '1')</t>
  </si>
  <si>
    <t>g1change_gift</t>
  </si>
  <si>
    <t>এই নতুন জাতের কারণে তেলাপিয়া মাছের উৎপাদন কীভাবে পরিবর্তিত হয়/হয়েছে?</t>
  </si>
  <si>
    <t>selected(${g1use_gift}, '1')</t>
  </si>
  <si>
    <t>mod_g2</t>
  </si>
  <si>
    <t>Module G2: Participation in Safety Net Programs</t>
  </si>
  <si>
    <t>Module G2: সামাজিক নিরাপত্তা কর্মসূচীতে অংশগ্রহন</t>
  </si>
  <si>
    <t>g2note</t>
  </si>
  <si>
    <t>Note: ask knowledgeable UP officials</t>
  </si>
  <si>
    <t>select_multiple ssn</t>
  </si>
  <si>
    <t>g2ssn</t>
  </si>
  <si>
    <t>Among the following programs, which programs benefited the people of this village in the last 12 months?</t>
  </si>
  <si>
    <t>গত 12 মাসে  নিচের প্রোগ্রামগুলির মধ্যে কোন প্রোগ্রামগুলি থেকে গ্রামের কোন খানা সুবিধা পেয়েছেন?</t>
  </si>
  <si>
    <t>list_name</t>
  </si>
  <si>
    <t>value</t>
  </si>
  <si>
    <t>image</t>
  </si>
  <si>
    <t>filter</t>
  </si>
  <si>
    <t>yesno</t>
  </si>
  <si>
    <t>Yes</t>
  </si>
  <si>
    <t>হ্যাঁ</t>
  </si>
  <si>
    <t>No</t>
  </si>
  <si>
    <t>না</t>
  </si>
  <si>
    <t>yesnona</t>
  </si>
  <si>
    <t>N/A</t>
  </si>
  <si>
    <t>yesnodk</t>
  </si>
  <si>
    <t>Don’t Know</t>
  </si>
  <si>
    <t>gender</t>
  </si>
  <si>
    <t>Male</t>
  </si>
  <si>
    <t>পুরুষ</t>
  </si>
  <si>
    <t>Female</t>
  </si>
  <si>
    <t>মহিলা</t>
  </si>
  <si>
    <t>Don’t want to reveal</t>
  </si>
  <si>
    <t>বলতে অনিচ্ছুক</t>
  </si>
  <si>
    <t>Hermaphrodite</t>
  </si>
  <si>
    <t>হিজড়া</t>
  </si>
  <si>
    <t>enum</t>
  </si>
  <si>
    <t>super</t>
  </si>
  <si>
    <t>monitor</t>
  </si>
  <si>
    <t>occupation</t>
  </si>
  <si>
    <t>UP Chairman</t>
  </si>
  <si>
    <t>UP চেয়ারম্যান</t>
  </si>
  <si>
    <t>UP Member</t>
  </si>
  <si>
    <t>UP সদস্য</t>
  </si>
  <si>
    <t>UP Secretary/Treasurer</t>
  </si>
  <si>
    <t>UP সচিব/কোষাধ্যক্ষ</t>
  </si>
  <si>
    <t>Teacher</t>
  </si>
  <si>
    <t>শিক্ষক</t>
  </si>
  <si>
    <t>Large farmer</t>
  </si>
  <si>
    <t>বড় কৃষক</t>
  </si>
  <si>
    <t>Businessman</t>
  </si>
  <si>
    <t>ব্যবসায়ী</t>
  </si>
  <si>
    <t xml:space="preserve">Headman/karbari </t>
  </si>
  <si>
    <t>বড় ব্যবসায়ী/কারবারী</t>
  </si>
  <si>
    <t>Seed dealer</t>
  </si>
  <si>
    <t>বীজের ডিলার</t>
  </si>
  <si>
    <t>Fish dealer</t>
  </si>
  <si>
    <t>মাছের ডিলার</t>
  </si>
  <si>
    <t>Other(specify)</t>
  </si>
  <si>
    <t>service</t>
  </si>
  <si>
    <t>Bazaar</t>
  </si>
  <si>
    <t>বাজার</t>
  </si>
  <si>
    <t>Internet café</t>
  </si>
  <si>
    <t>ইন্টারনেট ক্যাফে</t>
  </si>
  <si>
    <t>Fertilizer depot</t>
  </si>
  <si>
    <t>সারের গুদাম</t>
  </si>
  <si>
    <t>Local supply depot (LSD)</t>
  </si>
  <si>
    <t>স্থানীয় সরকারি শস্য গোডাউন/গুদাম (LSD)</t>
  </si>
  <si>
    <t xml:space="preserve">Cold storage </t>
  </si>
  <si>
    <t>কোল্ড স্টোরেজ</t>
  </si>
  <si>
    <t>Rental grain storage godown /warehouse</t>
  </si>
  <si>
    <t>শস্য মজুদের জন্য ভাড়া করা গোডাউন/গুদাম</t>
  </si>
  <si>
    <t>Cold storage (solar electricity)</t>
  </si>
  <si>
    <t>কোল্ড স্টোরেজ (সৌর বিদ্যুৎ শক্তি চালিত)</t>
  </si>
  <si>
    <t>Milk chilling plant (specify, for example BRAC/MilkVita etc)</t>
  </si>
  <si>
    <t>দুধ ঠান্ডা করার কারখানা (যেমন BRAC/মিল্ক ভিটা ইত্যাদি)</t>
  </si>
  <si>
    <t>Livestock/poultry/fish feed shop</t>
  </si>
  <si>
    <t>গবাদিপশু/হাঁস-মুরগী/মাছের খাবারের দোকান</t>
  </si>
  <si>
    <t>Veterinary clinic</t>
  </si>
  <si>
    <t>পশু চিকিৎসা কেন্দ্র (ভেটেরিনারি ক্লিনিক)</t>
  </si>
  <si>
    <t>Fertilizer dealer</t>
  </si>
  <si>
    <t>সারের ডিলার</t>
  </si>
  <si>
    <t>Ration dealer for rice</t>
  </si>
  <si>
    <t>চালের জন্য রেশন ডিলার</t>
  </si>
  <si>
    <t>Ration dealer for wheat</t>
  </si>
  <si>
    <t>গমের জন্য রেশন ডিলার</t>
  </si>
  <si>
    <t>Rice mill</t>
  </si>
  <si>
    <t>চালের মিল</t>
  </si>
  <si>
    <t>Wheat mill</t>
  </si>
  <si>
    <t>গমের মিল</t>
  </si>
  <si>
    <t>Rental services providers (power tiller)</t>
  </si>
  <si>
    <t>ভাড়ায় পাওয়ার টিলার সেবা প্রদান করে এমন সেবা প্রদানকারী</t>
  </si>
  <si>
    <t>Rental services providers (tractor)</t>
  </si>
  <si>
    <t>ভাড়ায় ট্রাক্টর সেবা প্রদান করে এমন সেবা প্রদানকারী</t>
  </si>
  <si>
    <t>Rental services providers (harvester)</t>
  </si>
  <si>
    <t>ভাড়ায় হার্ভেস্টার (ফসল কাটার যন্ত্র) সেবা প্রদান করে এমন সেবা প্রদানকারী</t>
  </si>
  <si>
    <t>Barind Multipurpose Development Authority (BMDA) local office</t>
  </si>
  <si>
    <t>বরেন্দ্র বহুমুখী উন্নয়ন কর্তৃপক্ষ (বিএমডিএ) স্থানীয় কার্যালয়</t>
  </si>
  <si>
    <t>Farmer Field School from 2018 onwards</t>
  </si>
  <si>
    <t>কৃষকের মাঠ স্কুল 2018 এর পর থেকে</t>
  </si>
  <si>
    <t>Fish fry seller</t>
  </si>
  <si>
    <t>মাছের রেনু বিক্রেতা</t>
  </si>
  <si>
    <t>Fish fingerling seller</t>
  </si>
  <si>
    <t>মাছের পোনা বিক্রেতা</t>
  </si>
  <si>
    <t>price_level</t>
  </si>
  <si>
    <t>Stable</t>
  </si>
  <si>
    <t>স্থিতিশীল আছে</t>
  </si>
  <si>
    <t>Decreased</t>
  </si>
  <si>
    <t>কমেছে</t>
  </si>
  <si>
    <t>Increased</t>
  </si>
  <si>
    <t>বৃদ্ধি পেয়েছে</t>
  </si>
  <si>
    <t>ten_pc</t>
  </si>
  <si>
    <t>Less than 10%</t>
  </si>
  <si>
    <t>10% এর কম</t>
  </si>
  <si>
    <t>More than 10%</t>
  </si>
  <si>
    <t>10% এর থেকে বেশি</t>
  </si>
  <si>
    <t>farmer_served</t>
  </si>
  <si>
    <t>Farmers of this village</t>
  </si>
  <si>
    <t>এই গ্রামের চাষি</t>
  </si>
  <si>
    <t>Farmers of this union</t>
  </si>
  <si>
    <t>এই ইউনিয়নের চাষি</t>
  </si>
  <si>
    <t>Farmers of this upazila</t>
  </si>
  <si>
    <t>এই উপজেলার চাষি</t>
  </si>
  <si>
    <t>Farmers of this district</t>
  </si>
  <si>
    <t>এই জেলার চাষি</t>
  </si>
  <si>
    <t>Farmers of this district and other district</t>
  </si>
  <si>
    <t>এই জেলার এবং জেলার বাইরের চাষি</t>
  </si>
  <si>
    <t>dealer_type</t>
  </si>
  <si>
    <t>Retailer</t>
  </si>
  <si>
    <t>খুচরা বিক্রেতা</t>
  </si>
  <si>
    <t>Wholesaler</t>
  </si>
  <si>
    <t>পাইকারী বিক্রেতা</t>
  </si>
  <si>
    <t>Retailer and wholesaler both</t>
  </si>
  <si>
    <t>খুচরা এবং পাইকারী উভয়</t>
  </si>
  <si>
    <t>other_input</t>
  </si>
  <si>
    <t>Only seed</t>
  </si>
  <si>
    <t>শুধু বীজ</t>
  </si>
  <si>
    <t>Fertilizer</t>
  </si>
  <si>
    <t>সার</t>
  </si>
  <si>
    <t>Pesticides</t>
  </si>
  <si>
    <t>কীটনাশক</t>
  </si>
  <si>
    <t>Agricultural equipment</t>
  </si>
  <si>
    <t>কৃষি সরঞ্জাম</t>
  </si>
  <si>
    <t>Feed</t>
  </si>
  <si>
    <t>খাবার (পশু খাদ্য)</t>
  </si>
  <si>
    <t>Veterinary products</t>
  </si>
  <si>
    <t>ভেটেরিনারী পণ্য</t>
  </si>
  <si>
    <t>Others (specify)</t>
  </si>
  <si>
    <t>type_seed</t>
  </si>
  <si>
    <t>Rice seed</t>
  </si>
  <si>
    <t>ধানের বীজ</t>
  </si>
  <si>
    <t>Vegetable seeds</t>
  </si>
  <si>
    <t>শাক-সবজি বীজ</t>
  </si>
  <si>
    <t>Pulse seeds</t>
  </si>
  <si>
    <t>ডালের বীজ</t>
  </si>
  <si>
    <t>Non-food crop seed</t>
  </si>
  <si>
    <t>খাদ্য হিসাবে ব্যবহার হয় না এমন ফসলের বীজ</t>
  </si>
  <si>
    <t>seed_source</t>
  </si>
  <si>
    <t>BADC outlets</t>
  </si>
  <si>
    <t>BADC আউটলেট /বিক্রয়কেন্দ্র</t>
  </si>
  <si>
    <t>Private company</t>
  </si>
  <si>
    <t>প্রাইভেট কোম্পানি (বেসরকারি প্রতিষ্ঠান)</t>
  </si>
  <si>
    <t>Bought from NGO</t>
  </si>
  <si>
    <t>এনজিও থেকে</t>
  </si>
  <si>
    <t>BARI</t>
  </si>
  <si>
    <t>Farmer’s field</t>
  </si>
  <si>
    <t>কৃষকের মাঠ</t>
  </si>
  <si>
    <t>seed_brand</t>
  </si>
  <si>
    <t>BADC</t>
  </si>
  <si>
    <t>ACI</t>
  </si>
  <si>
    <t>LAL TEER</t>
  </si>
  <si>
    <t>BRAC</t>
  </si>
  <si>
    <t>Aftab</t>
  </si>
  <si>
    <t>seed_package</t>
  </si>
  <si>
    <t>Sealed sacks</t>
  </si>
  <si>
    <t>সিল করা বস্তা</t>
  </si>
  <si>
    <t>Packet</t>
  </si>
  <si>
    <t>প্যাকেট</t>
  </si>
  <si>
    <t>Open/ Bulk</t>
  </si>
  <si>
    <t>খোলা বীজ একসাথে অনেক পরিমানে</t>
  </si>
  <si>
    <t>quality</t>
  </si>
  <si>
    <t>Very high quality</t>
  </si>
  <si>
    <t>খুব উচ্চ (ভালো) মানের</t>
  </si>
  <si>
    <t>Somewhat high quality</t>
  </si>
  <si>
    <t>কিছুটা উচ্চ(ভালো) মানের</t>
  </si>
  <si>
    <t>Neither high neither poor quality</t>
  </si>
  <si>
    <t>উচ্চ (ভালো) মানের না আবার নিম্ন মানেরও না</t>
  </si>
  <si>
    <t>Somewhat poor quality</t>
  </si>
  <si>
    <t>কিছুটা নিম্ন মানের</t>
  </si>
  <si>
    <t>Very poor quality</t>
  </si>
  <si>
    <t>অত্যন্ত নিম্ন মানের</t>
  </si>
  <si>
    <t>reg_point</t>
  </si>
  <si>
    <t>Government/BCIC</t>
  </si>
  <si>
    <t>সরকার/বিসিআইসি থেকে</t>
  </si>
  <si>
    <t>Non-government entities</t>
  </si>
  <si>
    <t>বেসরকারী সংস্থা থেকে</t>
  </si>
  <si>
    <t>Union parishad</t>
  </si>
  <si>
    <t>ইউনিয়ন পরিষদ থেকে</t>
  </si>
  <si>
    <t>seed_trait</t>
  </si>
  <si>
    <t>Market demand by farmers</t>
  </si>
  <si>
    <t>বাজার/কৃষকের চাহিদার জন্য</t>
  </si>
  <si>
    <t>High yielding variety</t>
  </si>
  <si>
    <t>উৎপাদন ভাল</t>
  </si>
  <si>
    <t>Easy to find in the market</t>
  </si>
  <si>
    <t>বাজারে সহজে পাওয়া যায়</t>
  </si>
  <si>
    <t>sanct_dist</t>
  </si>
  <si>
    <t>Within 25 km</t>
  </si>
  <si>
    <t>২৫ কিমি এর মধ্যে</t>
  </si>
  <si>
    <t>25-50 km</t>
  </si>
  <si>
    <t>২৫-৫০ কিমি এর মধ্যে</t>
  </si>
  <si>
    <t>Over 50 km</t>
  </si>
  <si>
    <t>৫০ কিমি থেকে বেশি দুরত্বে</t>
  </si>
  <si>
    <t>frequency</t>
  </si>
  <si>
    <t>Never</t>
  </si>
  <si>
    <t>কখনোই না</t>
  </si>
  <si>
    <t>Sometimes</t>
  </si>
  <si>
    <t>মাঝে মাঝে</t>
  </si>
  <si>
    <t>Mostly</t>
  </si>
  <si>
    <t>প্রায় সব সময়</t>
  </si>
  <si>
    <t>paddy</t>
  </si>
  <si>
    <t>Chandina BR-1 (Boro/Aus)|চান্দিনা বিআর-১ (বোরো/আউশ)</t>
  </si>
  <si>
    <t>Mala BR-2 (Boro/Aus)|মালা বিআর-২ (বোরো/আউশ)</t>
  </si>
  <si>
    <t>Biplob BR-3 (Aus/Aman)|বিপ্লব বিআর-৩ (আউশ/আমান)</t>
  </si>
  <si>
    <t>Brishail BR-4* (Aman)|ব্রিশাইল বিআর-৪* (আমান)</t>
  </si>
  <si>
    <t>Dulavhoge BR-5* (Aman)|দুলাভোগে বিআর-৫* (আমান)</t>
  </si>
  <si>
    <t>BR-6 (Boro/Aus)|BR-6 (বোরো/আউশ)</t>
  </si>
  <si>
    <t>Bribalam BR-7 (Boro/Aus)|ব্রি বালাম বিআর-৭ (বোরো/আউশ)</t>
  </si>
  <si>
    <t>Asa BR-8 (Boro/Aus)|আশা বিআর-৮ (বোরো/আউশ)</t>
  </si>
  <si>
    <t>Sufoza BR-9 (Boro/Aus)|সুফোজা বিআর-৯ (বোরো/আউশ)</t>
  </si>
  <si>
    <t>Progoti BR-10 (Aman)|প্রগতি বিআর-১০ (আমান)</t>
  </si>
  <si>
    <t>Mukta BR-11 (Aman)|মুক্তা বিআর-১১ (আমান)</t>
  </si>
  <si>
    <t>Moyna BR-12 (Boro/Aus)|ময়না বিআর-১২ (বোরো/আউশ)</t>
  </si>
  <si>
    <t>Gazi BR-14 (Boro/Aus)|গাজী বিআর-১৪ (বোরো/আউশ)</t>
  </si>
  <si>
    <t>Mohini BR-15 (Boro/aus)|মোহিনী বিআর-১৫ (বোরো/আউস)</t>
  </si>
  <si>
    <t>Shahi Balam BR-16(Boro/Aus)|শাহী বালাম বিআর-১৬ (বোরো/আউশ)</t>
  </si>
  <si>
    <t>Hasi BR-17 (Boro)|হাসি বিআর-১৭ (বোরো)</t>
  </si>
  <si>
    <t>Shahjalal BR-18 (Boro)|শাহজালাল বিআর-১৮ (বোরো)</t>
  </si>
  <si>
    <t>Mongal BR-19 (Boro)|মঙ্গল BR-19 (বোরো)</t>
  </si>
  <si>
    <t>Nizami BR-20 (Aus)|নিজামী BR-20 (Aus)</t>
  </si>
  <si>
    <t>Niamat BR-21 (Aus)|নিয়ামত BR-21 (Aus)</t>
  </si>
  <si>
    <t>Kiron BR-22* (Aman)|কিরণ বিআর-২২* (আমান)</t>
  </si>
  <si>
    <t>Dyshary BR-23 (Aman)|ডিশারী বিআর-২৩ (আমান)</t>
  </si>
  <si>
    <t>Rahmat BR-24 (Aus)|রহমত BR-24 (Aus)</t>
  </si>
  <si>
    <t>Noya Pajam BR-25 (Aman)|নয়া পাজাম বিআর-২৫ (আমান)</t>
  </si>
  <si>
    <t>Sraboni BR-26 (Aus)|শ্রাবণী বিআর-২৬ (আউশ)</t>
  </si>
  <si>
    <t>Bri Dhan BR-27 (Aus)|ব্রি ধান বিআর-২৭ (আউশ)</t>
  </si>
  <si>
    <t>Bri Dhan BR-28 (Boro)|ব্রি ধান বিআর-২৮ (বোরো)</t>
  </si>
  <si>
    <t>Bri Dhan BR-29 (Boro)|ব্রি ধান বিআর-২৯ (বোরো)</t>
  </si>
  <si>
    <t>Bri Dhan BR-30 (Aman)|ব্রি ধান বিআর-৩০ (আমান)</t>
  </si>
  <si>
    <t>Bri Dhan BR-31 (Aman)|ব্রি ধান বিআর-৩১ (আমান)</t>
  </si>
  <si>
    <t>Bri Dhan BR-32 (Aman)|ব্রি ধান বিআর-৩২ (আমান)</t>
  </si>
  <si>
    <t>Bri Dhan BR-33 (Aman)|ব্রি ধান বিআর-৩৩ (আমান)</t>
  </si>
  <si>
    <t>Bri Dhan BR-34 (Aman)|ব্রি ধান বিআর-৩৪ (আমান)</t>
  </si>
  <si>
    <t>Bri Dhan BR-35 (Boro)|ব্রি ধান বিআর-৩৫ (বোরো)</t>
  </si>
  <si>
    <t>Bri Dhan BR-36 (Boro)|ব্রি ধান বিআর-৩৬ (বোরো)</t>
  </si>
  <si>
    <t>Bri Dhan BR-37 (Aman)|ব্রি ধান বিআর-৩৭ (আমান)</t>
  </si>
  <si>
    <t>Bri Dhan BR-38 (Aman)|ব্রি ধান বিআর-৩৮ (আমান)</t>
  </si>
  <si>
    <t>Bri Dhan BR-39 (Aman)|ব্রি ধান বিআর-৩৯ (আমান)</t>
  </si>
  <si>
    <t>Bri Dhan BR-40 (Aman)|ব্রি ধান বিআর-৪০ (আমান)</t>
  </si>
  <si>
    <t>Bri Dhan BR-41 (Aman)|ব্রি ধান বিআর-৪১ (আমান)</t>
  </si>
  <si>
    <t>Bri Dhan BR-42 (Aus)|ব্রি ধান বিআর-৪২ (আউশ)</t>
  </si>
  <si>
    <t>Bri Dhan BR-43 (Aus)|ব্রি ধান বিআর-৪৩ (আউশ)</t>
  </si>
  <si>
    <t>Bri Dhan BR-44 (Aman)|ব্রি ধান বিআর-৪৪ (আমান)</t>
  </si>
  <si>
    <t>Bri Dhan BR-45 (Boro)|ব্রি ধান বিআর-৪৫ (বোরো)</t>
  </si>
  <si>
    <t>Bri Dhan BR-46 (Aman)|ব্রি ধান বিআর-৪৬ (আমান)</t>
  </si>
  <si>
    <t>Bri Dhan BR-47 (Boro)|ব্রি ধান বিআর-৪৭ (বোরো)</t>
  </si>
  <si>
    <t>Bri Dhan BR-48 (Aus)|ব্রি ধান বিআর-৪৮ (আউশ)</t>
  </si>
  <si>
    <t>Bri Dhan BR-49 (Aman)|ব্রি ধান বিআর-৪৯ (আমান)</t>
  </si>
  <si>
    <t>Bri Dhan BR-50 (Banglamoti)(Boro)|ব্রি ধান বিআর-৫০ (বাংলামতি) (বোরো)</t>
  </si>
  <si>
    <t>Bri Dhan BR-51 (Aman)|ব্রি ধান বিআর-৫১ (আমান)</t>
  </si>
  <si>
    <t>Bri Dhan BR-52 (Aman)|ব্রি ধান বিআর-৫২ (আমান)</t>
  </si>
  <si>
    <t>Bri Dhan BR-53 (Aman)|ব্রি ধান বিআর-৫৩ (আমান)</t>
  </si>
  <si>
    <t>Bri Dhan BR-54 (Aman)|ব্রি ধান বিআর-৫৪ (আমান)</t>
  </si>
  <si>
    <t>Bri Dhan BR-55 (boro/aus)|ব্রি ধান বিআর-৫৫ (বোরো/আউস)</t>
  </si>
  <si>
    <t>Bri Dhan BR-56 (Aman)|ব্রি ধান বিআর-৫৬ (আমান)</t>
  </si>
  <si>
    <t>Bri Dhan BR-57 (Aman)|ব্রি ধান বিআর-৫৭ (আমান)</t>
  </si>
  <si>
    <t>Bri Dhan BR-58 (Boro)|ব্রি ধান বিআর-৫৮ (বোরো)</t>
  </si>
  <si>
    <t>Bri Dhan BR-59 (Boro)|ব্রি ধান বিআর-৫৯ (বোরো)</t>
  </si>
  <si>
    <t>Bri Dhan BR-60 (Boro)|ব্রি ধান বিআর-৬০ (বোরো)</t>
  </si>
  <si>
    <t>Bri Dhan BR-61 (Boro)|ব্রি ধান বিআর-61 (বোরো)</t>
  </si>
  <si>
    <t>Bri Dhan BR-62 Zinc enriched (Aman)|ব্রি ধান বিআর-62 জিঙ্ক সমৃদ্ধ (আমান)</t>
  </si>
  <si>
    <t>Bri Dhan BR-63Shorubalam (Boro)|ব্রি ধান বিআর-63 সরু বালাম (বোরো)</t>
  </si>
  <si>
    <t>Bri Dhan BR-64Zinc enriched (Boro)|ব্রি ধান বিআর-64 জিঙ্ক সমৃদ্ধ (বোরো)</t>
  </si>
  <si>
    <t>Bri Dhan BR-65 (Aus)|ব্রি ধান বিআর-৬৫ (আউশ)</t>
  </si>
  <si>
    <t>Bri Dhan BR-66 drought tolerant(Aman)|ব্রি ধান বিআর-66 খরা সহনশীল (আমান)</t>
  </si>
  <si>
    <t>Bri Dhan BR-67saline tolerant (Boro)|ব্রি ধান বিআর-67 স্যালাইন সহনশীল (বোরো)</t>
  </si>
  <si>
    <t>Bri Dhan BR-68 (boro)|ব্রি ধান বিআর-68 (বোরো)</t>
  </si>
  <si>
    <t>Bri Dhan BR-69 weed resistant(Boro)|ব্রি ধান বিআর-69 আগাছা প্রতিরোধী (বোরো)</t>
  </si>
  <si>
    <t>Bri Dhan 70|ব্রি ধান 70</t>
  </si>
  <si>
    <t>Bri Dhan 71|ব্রি ধান ৭১</t>
  </si>
  <si>
    <t>Bri Dhan 72|ব্রি ধান ৭২</t>
  </si>
  <si>
    <t>Bri Dhan 73|ব্রি ধান ৭৩</t>
  </si>
  <si>
    <t>Bri Dhan 74|ব্রি ধান ৭৪</t>
  </si>
  <si>
    <t>Bri Dhan 75|ব্রি ধান 75</t>
  </si>
  <si>
    <t>Bri Dhan 76|ব্রি ধান ৭৬</t>
  </si>
  <si>
    <t>Bri Dhan 77|ব্রি ধান ৭৭</t>
  </si>
  <si>
    <t>Bri Dhan 78|ব্রি ধান ৭৮</t>
  </si>
  <si>
    <t>Bri Dhan 79|ব্রি ধান ৭৯</t>
  </si>
  <si>
    <t>Bri Dhan 80|ব্রি ধান 80</t>
  </si>
  <si>
    <t>Bri Dhan 81|ব্রি ধান ৮১</t>
  </si>
  <si>
    <t>Bri Dhan 82|ব্রি ধান 82</t>
  </si>
  <si>
    <t>Bri Dhan 83|ব্রি ধান 83</t>
  </si>
  <si>
    <t>Bri Dhan 84|ব্রি ধান 84</t>
  </si>
  <si>
    <t>Bri Dhan 85|ব্রি ধান 85</t>
  </si>
  <si>
    <t>Bri Dhan 86|ব্রি ধান ৮৬</t>
  </si>
  <si>
    <t>Bri Dhan 87|ব্রি ধান 87</t>
  </si>
  <si>
    <t>Bri Dhan 88|ব্রি ধান ৮৮</t>
  </si>
  <si>
    <t>Bri Dhan 89|ব্রি ধান ৮৯</t>
  </si>
  <si>
    <t>Bri Dhan 90|ব্রি ধান ৯০</t>
  </si>
  <si>
    <t>Bri Dhan 91|ব্রি ধান 91</t>
  </si>
  <si>
    <t>Bri Dhan 92|ব্রি ধান 92</t>
  </si>
  <si>
    <t>Bri Dhan 93|ব্রি ধান 93</t>
  </si>
  <si>
    <t>Bri Dhan 94|ব্রি ধান 94</t>
  </si>
  <si>
    <t>Bri Dhan 95|ব্রি ধান 95</t>
  </si>
  <si>
    <t>Bri Dhan 96|ব্রি ধান 96</t>
  </si>
  <si>
    <t>Bri Dhan 97|ব্রি ধান 97</t>
  </si>
  <si>
    <t>Bri Dhan 98|ব্রি ধান 98</t>
  </si>
  <si>
    <t>Bri Dhan 99|ব্রি ধান 99</t>
  </si>
  <si>
    <t>Bri Dhan 100|ব্রি ধান 100</t>
  </si>
  <si>
    <t>Bri Dhan 101|ব্রি ধান 101</t>
  </si>
  <si>
    <t>Bri Dhan 102|ব্রি ধান 102</t>
  </si>
  <si>
    <t>Bri Dhan 103|ব্রি ধান 103</t>
  </si>
  <si>
    <t>Bri Dhan 104|ব্রি ধান 104</t>
  </si>
  <si>
    <t>Bri Dhan 105|ব্রি ধান 105</t>
  </si>
  <si>
    <t>Bri Dhan 106|ব্রি ধান 106</t>
  </si>
  <si>
    <t>Nerica(new rice for africa)|নেরিকা (আফ্রিকার জন্য নতুন চাল)</t>
  </si>
  <si>
    <t>Haridhan|হরিধন</t>
  </si>
  <si>
    <t>Asiruddin|আসিরুদ্দিন</t>
  </si>
  <si>
    <t>Kajallata|কাজললতা</t>
  </si>
  <si>
    <t>Khude kajal|খুদে কাজল</t>
  </si>
  <si>
    <t>Miniket|মিনিকেট</t>
  </si>
  <si>
    <t>Paijam|পাইজাম</t>
  </si>
  <si>
    <t>Shapla|শাপলা</t>
  </si>
  <si>
    <t>Bashmati|বশমতি</t>
  </si>
  <si>
    <t>Jamaibabu|জামাইবাবু</t>
  </si>
  <si>
    <t>Guti/rajshahi/lalshorna|গুটি/রাজশাহী/লালশোর্ণ</t>
  </si>
  <si>
    <t>Bhojon(white/coarse)|ভোজন (সাদা/মোটা)</t>
  </si>
  <si>
    <t>Binni dhan|বিন্নি ধন</t>
  </si>
  <si>
    <t>Tepi dhan|টেপি ধান</t>
  </si>
  <si>
    <t>Alok|অলোক</t>
  </si>
  <si>
    <t>Sonar bangla|সোনার বাংলা</t>
  </si>
  <si>
    <t>Jagoron|জাগোরন</t>
  </si>
  <si>
    <t>Shakti 1|শক্তি ১</t>
  </si>
  <si>
    <t>Shakti 2|শক্তি ২</t>
  </si>
  <si>
    <t>Aloron 1|আলোড়ণ ১</t>
  </si>
  <si>
    <t>Aloron 2|আলোড়ণ ২</t>
  </si>
  <si>
    <t>Hira|হীরা</t>
  </si>
  <si>
    <t>ACI 5|এসিআই ৫</t>
  </si>
  <si>
    <t>Lal Teer|লাল তীর</t>
  </si>
  <si>
    <t>BINA 1|বিনা 1</t>
  </si>
  <si>
    <t>BINA 2|বিনা 2</t>
  </si>
  <si>
    <t>BINA 3|বিনা 3</t>
  </si>
  <si>
    <t>BINA 4|বিনা 4</t>
  </si>
  <si>
    <t>BINA 5|বিনা 5</t>
  </si>
  <si>
    <t>BINA 6(Boro/aus)|বিনা 6 (বোরো/আউস)</t>
  </si>
  <si>
    <t>BINA 7(Aman)|বিনা ৭(আমান)</t>
  </si>
  <si>
    <t>BINA 8(Boro/Aus)|বিনা 8 (বোরো/আউশ)</t>
  </si>
  <si>
    <t>BINA 9|বিনা 9</t>
  </si>
  <si>
    <t>BINA 10 (Boro)|বিনা 10 (বোরো)</t>
  </si>
  <si>
    <t>BINA 11(aman/aus)|বিনা 11(আমান/আউস)</t>
  </si>
  <si>
    <t>BINA 12 (aman)|বিনা 12 (আমান)</t>
  </si>
  <si>
    <t>BINA 13 (aman)|বিনা ১৩ (আমান)</t>
  </si>
  <si>
    <t>BINA 14 (boro)|বিনা 14 (বোরো)</t>
  </si>
  <si>
    <t>BINA 15 (aman)|বিনা 15 (আমান)</t>
  </si>
  <si>
    <t>BINA 16(aman)|বিনা 16(আমান)</t>
  </si>
  <si>
    <t>BINA 17|বিনা 17</t>
  </si>
  <si>
    <t>BINA 18|বিনা 18</t>
  </si>
  <si>
    <t>BINA 19|বিনা 19</t>
  </si>
  <si>
    <t>BINA 20|বিনা 20</t>
  </si>
  <si>
    <t>BINA 21|বিনা 21</t>
  </si>
  <si>
    <t>BINA 22|বিনা 22</t>
  </si>
  <si>
    <t>BINA 23|বিনা 23</t>
  </si>
  <si>
    <t>BINA 24|বিনা 24</t>
  </si>
  <si>
    <t>BINA 25|বিনা 25</t>
  </si>
  <si>
    <t>Bri Hybrid-1(Boro)|ব্রি হাইব্রিড-১ (বোরো)</t>
  </si>
  <si>
    <t>Bri Hybrid-2(Boro)|ব্রি হাইব্রিড-২ (বোরো)</t>
  </si>
  <si>
    <t>Bri Hybrid-3(Boro)|ব্রি হাইব্রিড-৩ (বোরো)</t>
  </si>
  <si>
    <t>Bri Hybrid-4(Boro Aman)|ব্রি হাইব্রিড-৪ (বোরো আমন)</t>
  </si>
  <si>
    <t>Bri hybrid 5|ব্রি হাইব্রিড 5</t>
  </si>
  <si>
    <t>Bri hybrid 6|ব্রি হাইব্রিড 6</t>
  </si>
  <si>
    <t>Bri hybrid 7|ব্রি হাইব্রিড 7</t>
  </si>
  <si>
    <t>Bri hybrid 8|ব্রি হাইব্রিড 8</t>
  </si>
  <si>
    <t>Binashail(aman)|বিনশাইল (আমান)</t>
  </si>
  <si>
    <t>Iratom 24(Boro)|ইরাটম 24(বোরো)</t>
  </si>
  <si>
    <t>Taj|তাজ</t>
  </si>
  <si>
    <t>HS|এইচ.এস</t>
  </si>
  <si>
    <t>Shonali|সোনালী</t>
  </si>
  <si>
    <t>Surma|সুরমা</t>
  </si>
  <si>
    <t>Padma|পদ্মা</t>
  </si>
  <si>
    <t>Bijoy|বিজয়</t>
  </si>
  <si>
    <t>Borkot|বোরকোট</t>
  </si>
  <si>
    <t>Raja|রাজা</t>
  </si>
  <si>
    <t>Chitra|চিত্রা</t>
  </si>
  <si>
    <t>Shobujmoti|শোবুজমতি</t>
  </si>
  <si>
    <t>Kajol|কাজল</t>
  </si>
  <si>
    <t>Rajkumar|রাজকুমার</t>
  </si>
  <si>
    <t>Robi|রবি</t>
  </si>
  <si>
    <t>BU Aromatic Hybrid Dhan-1|বিইউ এরোমাটিক হাইব্রিড ধান ১</t>
  </si>
  <si>
    <t>BU Aromatic Dhan-2|বিইউ এরোমাটিক হাইব্রিড ধান ২</t>
  </si>
  <si>
    <t>Other (specify)|অন্যান্য (নির্দিষ্ট করুন)</t>
  </si>
  <si>
    <t>fish_broad</t>
  </si>
  <si>
    <t>Silver carp</t>
  </si>
  <si>
    <t>Grass carp</t>
  </si>
  <si>
    <t>Mirror carp</t>
  </si>
  <si>
    <t>Common carp</t>
  </si>
  <si>
    <t>Karfu</t>
  </si>
  <si>
    <t>Rui</t>
  </si>
  <si>
    <t>Katla.</t>
  </si>
  <si>
    <t>Mrigel</t>
  </si>
  <si>
    <t>Kalibaus</t>
  </si>
  <si>
    <t>Telapia/Nailotica</t>
  </si>
  <si>
    <t>Pona</t>
  </si>
  <si>
    <t>Koi</t>
  </si>
  <si>
    <t>Magur</t>
  </si>
  <si>
    <t>Shingi</t>
  </si>
  <si>
    <t>Khalse</t>
  </si>
  <si>
    <t>Shol/Gajar/Taki</t>
  </si>
  <si>
    <t>Puti/Swarputi</t>
  </si>
  <si>
    <t>Prawn (Golda Chingri)</t>
  </si>
  <si>
    <t>Shrimp (Bagda Chingri)</t>
  </si>
  <si>
    <t>Tengra/Baim</t>
  </si>
  <si>
    <t>Mola/Dhela/Kachki/Chapila</t>
  </si>
  <si>
    <t>Ilish/hilsha</t>
  </si>
  <si>
    <t>Sea fish</t>
  </si>
  <si>
    <t>Pangash</t>
  </si>
  <si>
    <t>Other Large fish</t>
  </si>
  <si>
    <t>Other Small fish</t>
  </si>
  <si>
    <t>fingerling_source</t>
  </si>
  <si>
    <t>Dealer from own Upazilla</t>
  </si>
  <si>
    <t>নিজ উপজেলার ডিলার থেকে</t>
  </si>
  <si>
    <t>Dealer from other Upazilla</t>
  </si>
  <si>
    <t>অন্যান্য উপজেলা থেকে ডিলার</t>
  </si>
  <si>
    <t>Others</t>
  </si>
  <si>
    <t>fish_reg</t>
  </si>
  <si>
    <t>City Corporation</t>
  </si>
  <si>
    <t>সিটি কর্পোরেশন</t>
  </si>
  <si>
    <t>City Council</t>
  </si>
  <si>
    <t>সিটি কাউন্সিল</t>
  </si>
  <si>
    <t>fish_ban</t>
  </si>
  <si>
    <t>65 days fishing ban</t>
  </si>
  <si>
    <t>৬৫ দিনের মাছ ধরার নিষেধাজ্ঞা</t>
  </si>
  <si>
    <t>22 days hilsha fishing ban</t>
  </si>
  <si>
    <t>২২ দিনের ইলিশ মাছ ধরার নিষেধাজ্ঞা</t>
  </si>
  <si>
    <t>Juvenile hilsha fishing ban</t>
  </si>
  <si>
    <t>অপরিণত ইলিশ (জাটকা) মাছ ধরা নিষেধাজ্ঞা</t>
  </si>
  <si>
    <t>net_hole_size</t>
  </si>
  <si>
    <t>Greater than 5 CM</t>
  </si>
  <si>
    <t>5 CM এর বেশি</t>
  </si>
  <si>
    <t>Less than 5 CM</t>
  </si>
  <si>
    <t>5 CM এর কম</t>
  </si>
  <si>
    <t>change</t>
  </si>
  <si>
    <t>Remained the same</t>
  </si>
  <si>
    <t>একই রকম</t>
  </si>
  <si>
    <t>বেড়েছে</t>
  </si>
  <si>
    <t>ssn</t>
  </si>
  <si>
    <t>School Feeding Program</t>
  </si>
  <si>
    <t>স্কুলে খাদ্য বিতরণ কর্মসুচী</t>
  </si>
  <si>
    <t>Maternity allowance program for the Poor Lactating Mothers</t>
  </si>
  <si>
    <t>দরিদ্র প্রসুতি মায়ের জন্য মাতৃত্ব ভাতা</t>
  </si>
  <si>
    <t>Vulnerable Group Development (VGD)</t>
  </si>
  <si>
    <t>ভালনেরাবল গ্রুপ ডেভোলপমেন্ট (VGD)</t>
  </si>
  <si>
    <t>VGD-UP (8 District on Monga Area)</t>
  </si>
  <si>
    <t>ভিজিডি-UP (মঙ্গা পিরিত এলাকার ৮টি জেলায়)</t>
  </si>
  <si>
    <t>Community Nutrition Program</t>
  </si>
  <si>
    <t>কমিউনিটি নিউট্রিশন প্রোগ্রাম</t>
  </si>
  <si>
    <t>Improving maternal and child nutrition (IMCN)</t>
  </si>
  <si>
    <t>মা এবং শিশুর পুষ্টি উন্নয়ন (IMCN)</t>
  </si>
  <si>
    <t>TMRI program</t>
  </si>
  <si>
    <t>TMRI প্রোগ্রাম</t>
  </si>
  <si>
    <t>Climate Rehabilitation Program (Gucchograam)</t>
  </si>
  <si>
    <t>জলবায়ু পুনর্বাসন কর্মসূচি (গুচ্ছগ্রাম)</t>
  </si>
  <si>
    <t>None of the above</t>
  </si>
  <si>
    <t>উপরের কোনটিই নয়</t>
  </si>
  <si>
    <t>dvcode</t>
  </si>
  <si>
    <t>div_name</t>
  </si>
  <si>
    <t>dcode</t>
  </si>
  <si>
    <t>District_Name</t>
  </si>
  <si>
    <t>uzcode</t>
  </si>
  <si>
    <t>Upazila_Name</t>
  </si>
  <si>
    <t>uncode</t>
  </si>
  <si>
    <t>Union_Name</t>
  </si>
  <si>
    <t>mzcode</t>
  </si>
  <si>
    <t>mouza_name</t>
  </si>
  <si>
    <t>vcode</t>
  </si>
  <si>
    <t>village_name</t>
  </si>
  <si>
    <t>fish_dealer_type</t>
  </si>
  <si>
    <t>Fish farmer</t>
  </si>
  <si>
    <t>মৎস্য খামারকারী</t>
  </si>
  <si>
    <t>Nursery owner</t>
  </si>
  <si>
    <t>নার্সারির মালিক</t>
  </si>
  <si>
    <t>Hatchery owner</t>
  </si>
  <si>
    <t>হ্যাচারির মালিক</t>
  </si>
  <si>
    <t>lab_avail</t>
  </si>
  <si>
    <t>Excess compared to demand</t>
  </si>
  <si>
    <t>চাহিদার তুলনায় অতিরিক্ত</t>
  </si>
  <si>
    <t>Normal compared to demand</t>
  </si>
  <si>
    <t>চাহিদার তুলনায় স্বাভাবিক</t>
  </si>
  <si>
    <t>Insufficient compared to demand</t>
  </si>
  <si>
    <t>চাহিদার তুলনায় অপর্যাপ্ত</t>
  </si>
  <si>
    <t>প্রযোজ্য নয়</t>
  </si>
  <si>
    <t xml:space="preserve"> fisher_served</t>
  </si>
  <si>
    <t>এই গ্রামের খামারি</t>
  </si>
  <si>
    <t>এই ইউনিয়নের খামারি</t>
  </si>
  <si>
    <t>এই উপজেলার খামারি</t>
  </si>
  <si>
    <t>এই জেলার খামারি</t>
  </si>
  <si>
    <t>এই জেলার এবং জেলার বাইরের খামারি</t>
  </si>
  <si>
    <t>form_title</t>
  </si>
  <si>
    <t>form_id</t>
  </si>
  <si>
    <t>version</t>
  </si>
  <si>
    <t>public_key</t>
  </si>
  <si>
    <t>submission_url</t>
  </si>
  <si>
    <t>default_language</t>
  </si>
  <si>
    <t>SPIA_BIHS_CC_2024</t>
  </si>
  <si>
    <t>spia_bihs_cc_2024</t>
  </si>
  <si>
    <t/>
  </si>
  <si>
    <t xml:space="preserve">   </t>
  </si>
  <si>
    <t xml:space="preserve">      </t>
  </si>
  <si>
    <t xml:space="preserve">     </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</si>
  <si>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</si>
  <si>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</si>
  <si>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</si>
  <si>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label</t>
  </si>
  <si>
    <t>label:languagename</t>
  </si>
  <si>
    <t>hint</t>
  </si>
  <si>
    <t>hint:languagename</t>
  </si>
  <si>
    <t>constraint message</t>
  </si>
  <si>
    <t>constraint message:languagename</t>
  </si>
  <si>
    <t>required message:languagename</t>
  </si>
  <si>
    <t>media:image:languagename</t>
  </si>
  <si>
    <t>media:audio:languagename</t>
  </si>
  <si>
    <t>media:video:languagename</t>
  </si>
  <si>
    <r>
      <rPr>
        <sz val="12"/>
        <color rgb="FF000000"/>
        <rFont val="Calibri"/>
      </rPr>
      <t xml:space="preserve">This column specifies the type of the field or group. It has to follow a pre-specified format, and Excel's conditional formatting has been used to auto-highlight rows that appear to have a valid </t>
    </r>
    <r>
      <rPr>
        <i/>
        <sz val="12"/>
        <color rgb="FF000000"/>
        <rFont val="Calibri"/>
      </rPr>
      <t>type</t>
    </r>
    <r>
      <rPr>
        <sz val="12"/>
        <color rgb="FF000000"/>
        <rFont val="Calibri"/>
      </rPr>
      <t xml:space="preserve"> column -- so, if you are using Excel and your row is </t>
    </r>
    <r>
      <rPr>
        <i/>
        <sz val="12"/>
        <color rgb="FF000000"/>
        <rFont val="Calibri"/>
      </rPr>
      <t>not</t>
    </r>
    <r>
      <rPr>
        <sz val="12"/>
        <color rgb="FF000000"/>
        <rFont val="Calibri"/>
      </rPr>
      <t xml:space="preserve"> automatically highlighted, re-check that you have entered the type properly. 
See below for an exhaustive list of brief examples.</t>
    </r>
  </si>
  <si>
    <r>
      <rPr>
        <sz val="12"/>
        <color rgb="FF000000"/>
        <rFont val="Calibri"/>
      </rPr>
      <t xml:space="preserve">This column specifies the name of the field or group. Field names must be unique, and they cannot include any spaces or punctuation. 
Example: </t>
    </r>
    <r>
      <rPr>
        <b/>
        <sz val="12"/>
        <color rgb="FF000000"/>
        <rFont val="Calibri"/>
      </rPr>
      <t>age</t>
    </r>
  </si>
  <si>
    <r>
      <rPr>
        <sz val="12"/>
        <color rgb="FF000000"/>
        <rFont val="Calibri"/>
      </rPr>
      <t xml:space="preserve">For those field types that present a user interface, this column is where you put the primary text for the question or field. You can include line-breaks in your label text by pressing </t>
    </r>
    <r>
      <rPr>
        <i/>
        <sz val="12"/>
        <color rgb="FF000000"/>
        <rFont val="Calibri"/>
      </rPr>
      <t xml:space="preserve">Alt+Enter </t>
    </r>
    <r>
      <rPr>
        <sz val="12"/>
        <color rgb="FF000000"/>
        <rFont val="Calibri"/>
      </rPr>
      <t xml:space="preserve">on Windows or </t>
    </r>
    <r>
      <rPr>
        <i/>
        <sz val="12"/>
        <color rgb="FF000000"/>
        <rFont val="Calibri"/>
      </rPr>
      <t xml:space="preserve">Control+Option+Enter </t>
    </r>
    <r>
      <rPr>
        <sz val="12"/>
        <color rgb="FF000000"/>
        <rFont val="Calibri"/>
      </rPr>
      <t>on a Mac.</t>
    </r>
  </si>
  <si>
    <r>
      <rPr>
        <sz val="12"/>
        <color rgb="FF000000"/>
        <rFont val="Calibri"/>
      </rPr>
      <t xml:space="preserve">Any </t>
    </r>
    <r>
      <rPr>
        <i/>
        <sz val="12"/>
        <color rgb="FF000000"/>
        <rFont val="Calibri"/>
      </rPr>
      <t>label:languagename</t>
    </r>
    <r>
      <rPr>
        <sz val="12"/>
        <color rgb="FF000000"/>
        <rFont val="Calibri"/>
      </rPr>
      <t xml:space="preserve"> column (e.g., </t>
    </r>
    <r>
      <rPr>
        <i/>
        <sz val="12"/>
        <color rgb="FF000000"/>
        <rFont val="Calibri"/>
      </rPr>
      <t>label:tamil</t>
    </r>
    <r>
      <rPr>
        <sz val="12"/>
        <color rgb="FF000000"/>
        <rFont val="Calibri"/>
      </rPr>
      <t>) may be added in order to provide labels in an alternative language.
View the help topic below for more details.</t>
    </r>
  </si>
  <si>
    <r>
      <rPr>
        <sz val="12"/>
        <color rgb="FF000000"/>
        <rFont val="Calibri"/>
      </rPr>
      <t xml:space="preserve">Text in this column, if any, will appear italicized beneath the field's label. You can include line-breaks in your hint text by pressing </t>
    </r>
    <r>
      <rPr>
        <i/>
        <sz val="12"/>
        <color rgb="FF000000"/>
        <rFont val="Calibri"/>
      </rPr>
      <t xml:space="preserve">Alt+Enter </t>
    </r>
    <r>
      <rPr>
        <sz val="12"/>
        <color rgb="FF000000"/>
        <rFont val="Calibri"/>
      </rPr>
      <t xml:space="preserve">on Windows or </t>
    </r>
    <r>
      <rPr>
        <i/>
        <sz val="12"/>
        <color rgb="FF000000"/>
        <rFont val="Calibri"/>
      </rPr>
      <t xml:space="preserve">Control+Option+Enter </t>
    </r>
    <r>
      <rPr>
        <sz val="12"/>
        <color rgb="FF000000"/>
        <rFont val="Calibri"/>
      </rPr>
      <t>on a Mac.</t>
    </r>
  </si>
  <si>
    <r>
      <rPr>
        <sz val="12"/>
        <color rgb="FF000000"/>
        <rFont val="Calibri"/>
      </rPr>
      <t xml:space="preserve">Any </t>
    </r>
    <r>
      <rPr>
        <i/>
        <sz val="12"/>
        <color rgb="FF000000"/>
        <rFont val="Calibri"/>
      </rPr>
      <t>hint:languagename</t>
    </r>
    <r>
      <rPr>
        <sz val="12"/>
        <color rgb="FF000000"/>
        <rFont val="Calibri"/>
      </rPr>
      <t xml:space="preserve"> column (e.g., </t>
    </r>
    <r>
      <rPr>
        <i/>
        <sz val="12"/>
        <color rgb="FF000000"/>
        <rFont val="Calibri"/>
      </rPr>
      <t>hint:tamil</t>
    </r>
    <r>
      <rPr>
        <sz val="12"/>
        <color rgb="FF000000"/>
        <rFont val="Calibri"/>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</si>
  <si>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</si>
  <si>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sz val="12"/>
        <color rgb="FF000000"/>
        <rFont val="Calibri"/>
      </rPr>
      <t xml:space="preserve">For field types that allow multiple appearances, you can specify the appearance style in this column (e.g., </t>
    </r>
    <r>
      <rPr>
        <i/>
        <sz val="12"/>
        <color rgb="FF000000"/>
        <rFont val="Calibri"/>
      </rPr>
      <t>quick</t>
    </r>
    <r>
      <rPr>
        <sz val="12"/>
        <color rgb="FF000000"/>
        <rFont val="Calibri"/>
      </rPr>
      <t xml:space="preserve"> or </t>
    </r>
    <r>
      <rPr>
        <i/>
        <sz val="12"/>
        <color rgb="FF000000"/>
        <rFont val="Calibri"/>
      </rPr>
      <t>minimal</t>
    </r>
    <r>
      <rPr>
        <sz val="12"/>
        <color rgb="FF000000"/>
        <rFont val="Calibri"/>
      </rPr>
      <t xml:space="preserve"> for </t>
    </r>
    <r>
      <rPr>
        <i/>
        <sz val="12"/>
        <color rgb="FF000000"/>
        <rFont val="Calibri"/>
      </rPr>
      <t>select_one</t>
    </r>
    <r>
      <rPr>
        <sz val="12"/>
        <color rgb="FF000000"/>
        <rFont val="Calibri"/>
      </rPr>
      <t xml:space="preserve"> fields). 
See the individual examples below.</t>
    </r>
  </si>
  <si>
    <r>
      <rPr>
        <sz val="12"/>
        <color rgb="FF000000"/>
        <rFont val="Calibri"/>
      </rPr>
      <t xml:space="preserve">Enter an expression into this column to validate entered or selected values. The user will only be allowed to proceed to the next question when the expression evaluates to true. Use the </t>
    </r>
    <r>
      <rPr>
        <i/>
        <sz val="12"/>
        <color rgb="FF000000"/>
        <rFont val="Calibri"/>
      </rPr>
      <t xml:space="preserve">constraint builder </t>
    </r>
    <r>
      <rPr>
        <sz val="12"/>
        <color rgb="FF000000"/>
        <rFont val="Calibri"/>
      </rPr>
      <t xml:space="preserve">to build new constraint expressions. (Also see the expression quick-reference following the examples below.) 
Example: </t>
    </r>
    <r>
      <rPr>
        <b/>
        <sz val="12"/>
        <color rgb="FF000000"/>
        <rFont val="Calibri"/>
      </rPr>
      <t>. &lt; 130</t>
    </r>
    <r>
      <rPr>
        <b/>
        <sz val="12"/>
        <color rgb="FF000000"/>
        <rFont val="Calibri"/>
      </rPr>
      <t xml:space="preserve">
</t>
    </r>
    <r>
      <rPr>
        <sz val="12"/>
        <color rgb="FF000000"/>
        <rFont val="Calibri"/>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</si>
  <si>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</si>
  <si>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sz val="12"/>
        <color rgb="FF000000"/>
        <rFont val="Calibri"/>
      </rPr>
      <t xml:space="preserve">Any </t>
    </r>
    <r>
      <rPr>
        <i/>
        <sz val="12"/>
        <color rgb="FF000000"/>
        <rFont val="Calibri"/>
      </rPr>
      <t>constraint message:languagename</t>
    </r>
    <r>
      <rPr>
        <sz val="12"/>
        <color rgb="FF000000"/>
        <rFont val="Calibri"/>
      </rPr>
      <t xml:space="preserve"> column (e.g., </t>
    </r>
    <r>
      <rPr>
        <i/>
        <sz val="12"/>
        <color rgb="FF000000"/>
        <rFont val="Calibri"/>
      </rPr>
      <t>constraint message:tamil</t>
    </r>
    <r>
      <rPr>
        <sz val="12"/>
        <color rgb="FF000000"/>
        <rFont val="Calibri"/>
      </rPr>
      <t>) may be added in order to provide constraint messages in an alternative language.</t>
    </r>
  </si>
  <si>
    <r>
      <rPr>
        <sz val="12"/>
        <color rgb="FF000000"/>
        <rFont val="Calibri"/>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rgb="FF000000"/>
        <rFont val="Calibri"/>
      </rPr>
      <t xml:space="preserve">relevance builder </t>
    </r>
    <r>
      <rPr>
        <sz val="12"/>
        <color rgb="FF000000"/>
        <rFont val="Calibri"/>
      </rPr>
      <t xml:space="preserve">to build new relevance expressions. (Also see the expression quick-reference following the examples below.) 
Example: </t>
    </r>
    <r>
      <rPr>
        <b/>
        <sz val="12"/>
        <color rgb="FF000000"/>
        <rFont val="Calibri"/>
      </rPr>
      <t xml:space="preserve">${age} &lt; 18
</t>
    </r>
    <r>
      <rPr>
        <sz val="12"/>
        <color rgb="FF000000"/>
        <rFont val="Calibri"/>
      </rPr>
      <t xml:space="preserve">
View the help topic below for more details.</t>
    </r>
  </si>
  <si>
    <r>
      <rPr>
        <sz val="12"/>
        <color rgb="FF000000"/>
        <rFont val="Calibri"/>
      </rPr>
      <t xml:space="preserve">Enter </t>
    </r>
    <r>
      <rPr>
        <b/>
        <sz val="12"/>
        <color rgb="FF000000"/>
        <rFont val="Calibri"/>
      </rPr>
      <t>yes</t>
    </r>
    <r>
      <rPr>
        <sz val="12"/>
        <color rgb="FF000000"/>
        <rFont val="Calibri"/>
      </rPr>
      <t xml:space="preserve"> into this column to temporarily disable a field. (Rarely used.)
View the help topic below for more details.</t>
    </r>
  </si>
  <si>
    <r>
      <rPr>
        <sz val="12"/>
        <color rgb="FF000000"/>
        <rFont val="Calibri"/>
      </rPr>
      <t xml:space="preserve">Enter </t>
    </r>
    <r>
      <rPr>
        <b/>
        <sz val="12"/>
        <color rgb="FF000000"/>
        <rFont val="Calibri"/>
      </rPr>
      <t>yes</t>
    </r>
    <r>
      <rPr>
        <sz val="12"/>
        <color rgb="FF000000"/>
        <rFont val="Calibri"/>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</si>
  <si>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</si>
  <si>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sz val="12"/>
        <color rgb="FF000000"/>
        <rFont val="Calibri"/>
      </rPr>
      <t xml:space="preserve">Any </t>
    </r>
    <r>
      <rPr>
        <i/>
        <sz val="12"/>
        <color rgb="FF000000"/>
        <rFont val="Calibri"/>
      </rPr>
      <t>required message:languagename</t>
    </r>
    <r>
      <rPr>
        <sz val="12"/>
        <color rgb="FF000000"/>
        <rFont val="Calibri"/>
      </rPr>
      <t xml:space="preserve"> column (e.g., </t>
    </r>
    <r>
      <rPr>
        <i/>
        <sz val="12"/>
        <color rgb="FF000000"/>
        <rFont val="Calibri"/>
      </rPr>
      <t>required message:tamil</t>
    </r>
    <r>
      <rPr>
        <sz val="12"/>
        <color rgb="FF000000"/>
        <rFont val="Calibri"/>
      </rPr>
      <t>) may be added in order to provide required messages in an alternative language.</t>
    </r>
  </si>
  <si>
    <r>
      <rPr>
        <sz val="12"/>
        <color rgb="FF000000"/>
        <rFont val="Calibri"/>
      </rPr>
      <t xml:space="preserve">Enter </t>
    </r>
    <r>
      <rPr>
        <b/>
        <sz val="12"/>
        <color rgb="FF000000"/>
        <rFont val="Calibri"/>
      </rPr>
      <t>yes</t>
    </r>
    <r>
      <rPr>
        <sz val="12"/>
        <color rgb="FF000000"/>
        <rFont val="Calibri"/>
      </rPr>
      <t xml:space="preserve"> into this column to make it read-only (a user can see the field, but cannot enter or select a value). (Rarely used, because </t>
    </r>
    <r>
      <rPr>
        <i/>
        <sz val="12"/>
        <color rgb="FF000000"/>
        <rFont val="Calibri"/>
      </rPr>
      <t>note</t>
    </r>
    <r>
      <rPr>
        <sz val="12"/>
        <color rgb="FF000000"/>
        <rFont val="Calibri"/>
      </rPr>
      <t xml:space="preserve"> fields, which are by nature read-only, are automatically read-only regardless of what is specified here.)</t>
    </r>
  </si>
  <si>
    <r>
      <rPr>
        <sz val="12"/>
        <color rgb="FF000000"/>
        <rFont val="Calibri"/>
      </rPr>
      <t xml:space="preserve">This column specifies the expression to use for a </t>
    </r>
    <r>
      <rPr>
        <i/>
        <sz val="12"/>
        <color rgb="FF000000"/>
        <rFont val="Calibri"/>
      </rPr>
      <t>calculate</t>
    </r>
    <r>
      <rPr>
        <sz val="12"/>
        <color rgb="FF000000"/>
        <rFont val="Calibri"/>
      </rPr>
      <t xml:space="preserve"> field, or the expression to use for calculating the default entry or selection for a visible form field. Use the </t>
    </r>
    <r>
      <rPr>
        <i/>
        <sz val="12"/>
        <color rgb="FF000000"/>
        <rFont val="Calibri"/>
      </rPr>
      <t xml:space="preserve">calculation builder </t>
    </r>
    <r>
      <rPr>
        <sz val="12"/>
        <color rgb="FF000000"/>
        <rFont val="Calibri"/>
      </rPr>
      <t>to build new calculation expressions. (Also see the expression quick-reference following the examples below.)
View the help topic below for more details.</t>
    </r>
  </si>
  <si>
    <r>
      <rPr>
        <sz val="12"/>
        <color rgb="FF000000"/>
        <rFont val="Calibri"/>
      </rPr>
      <t xml:space="preserve">For a </t>
    </r>
    <r>
      <rPr>
        <i/>
        <sz val="12"/>
        <color rgb="FF000000"/>
        <rFont val="Calibri"/>
      </rPr>
      <t>begin repeat</t>
    </r>
    <r>
      <rPr>
        <sz val="12"/>
        <color rgb="FF000000"/>
        <rFont val="Calibri"/>
      </rPr>
      <t xml:space="preserve"> row, this column can specify the number of times to repeat the group of questions. (Can be a fixed count like </t>
    </r>
    <r>
      <rPr>
        <b/>
        <sz val="12"/>
        <color rgb="FF000000"/>
        <rFont val="Calibri"/>
      </rPr>
      <t>3</t>
    </r>
    <r>
      <rPr>
        <sz val="12"/>
        <color rgb="FF000000"/>
        <rFont val="Calibri"/>
      </rPr>
      <t xml:space="preserve"> or a reference to an earlier field like </t>
    </r>
    <r>
      <rPr>
        <b/>
        <sz val="12"/>
        <color rgb="FF000000"/>
        <rFont val="Calibri"/>
      </rPr>
      <t>${numhh_members}</t>
    </r>
    <r>
      <rPr>
        <sz val="12"/>
        <color rgb="FF000000"/>
        <rFont val="Calibri"/>
      </rPr>
      <t>.)
View the help topic below for more details.</t>
    </r>
  </si>
  <si>
    <r>
      <rPr>
        <sz val="12"/>
        <color rgb="FF000000"/>
        <rFont val="Calibri"/>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rgb="FF000000"/>
        <rFont val="Calibri"/>
      </rPr>
      <t>paddy.png</t>
    </r>
    <r>
      <rPr>
        <sz val="12"/>
        <color rgb="FF000000"/>
        <rFont val="Calibri"/>
      </rPr>
      <t xml:space="preserve">
View the help topic below for more details.</t>
    </r>
  </si>
  <si>
    <r>
      <rPr>
        <sz val="12"/>
        <color rgb="FF000000"/>
        <rFont val="Calibri"/>
      </rPr>
      <t xml:space="preserve">To include a sound clip that can be played at a field, its filename should be specified here (and the file should be uploaded with this form defintion). Which media file formats are supported will depend on your Android device. 
Example: </t>
    </r>
    <r>
      <rPr>
        <b/>
        <sz val="12"/>
        <color rgb="FF000000"/>
        <rFont val="Calibri"/>
      </rPr>
      <t xml:space="preserve">explanation.3gpp
</t>
    </r>
    <r>
      <rPr>
        <sz val="12"/>
        <color rgb="FF000000"/>
        <rFont val="Calibri"/>
      </rPr>
      <t xml:space="preserve">
View the help topic below for more details.</t>
    </r>
  </si>
  <si>
    <r>
      <rPr>
        <sz val="12"/>
        <color rgb="FF000000"/>
        <rFont val="Calibri"/>
      </rPr>
      <t xml:space="preserve">To include a video clip that can be played at a field, its filename should be specified here (and the file should be uploaded with this form defintion). Which media file formats are supported will depend on your Android device. 
Example: </t>
    </r>
    <r>
      <rPr>
        <b/>
        <sz val="12"/>
        <color rgb="FF000000"/>
        <rFont val="Calibri"/>
      </rPr>
      <t xml:space="preserve">demonstration.mp4
</t>
    </r>
    <r>
      <rPr>
        <sz val="12"/>
        <color rgb="FF000000"/>
        <rFont val="Calibri"/>
      </rPr>
      <t xml:space="preserve">
View the help topic below for more details.</t>
    </r>
  </si>
  <si>
    <r>
      <rPr>
        <sz val="12"/>
        <color rgb="FF000000"/>
        <rFont val="Calibri"/>
      </rPr>
      <t xml:space="preserve">Any </t>
    </r>
    <r>
      <rPr>
        <i/>
        <sz val="12"/>
        <color rgb="FF000000"/>
        <rFont val="Calibri"/>
      </rPr>
      <t>media:image:languagename</t>
    </r>
    <r>
      <rPr>
        <sz val="12"/>
        <color rgb="FF000000"/>
        <rFont val="Calibri"/>
      </rPr>
      <t xml:space="preserve"> column (e.g., </t>
    </r>
    <r>
      <rPr>
        <i/>
        <sz val="12"/>
        <color rgb="FF000000"/>
        <rFont val="Calibri"/>
      </rPr>
      <t>media:image:tamil</t>
    </r>
    <r>
      <rPr>
        <sz val="12"/>
        <color rgb="FF000000"/>
        <rFont val="Calibri"/>
      </rPr>
      <t>) may be added in order to provide images for an alternative language.
View the help topic below for more details.</t>
    </r>
  </si>
  <si>
    <r>
      <rPr>
        <sz val="12"/>
        <color rgb="FF000000"/>
        <rFont val="Calibri"/>
      </rPr>
      <t xml:space="preserve">Any </t>
    </r>
    <r>
      <rPr>
        <i/>
        <sz val="12"/>
        <color rgb="FF000000"/>
        <rFont val="Calibri"/>
      </rPr>
      <t>media:audio:languagename</t>
    </r>
    <r>
      <rPr>
        <sz val="12"/>
        <color rgb="FF000000"/>
        <rFont val="Calibri"/>
      </rPr>
      <t xml:space="preserve"> column (e.g., </t>
    </r>
    <r>
      <rPr>
        <i/>
        <sz val="12"/>
        <color rgb="FF000000"/>
        <rFont val="Calibri"/>
      </rPr>
      <t>media:audio:tamil</t>
    </r>
    <r>
      <rPr>
        <sz val="12"/>
        <color rgb="FF000000"/>
        <rFont val="Calibri"/>
      </rPr>
      <t>) may be added in order to provide audio clips for an alternative language.
View the help topic below for more details.</t>
    </r>
  </si>
  <si>
    <r>
      <rPr>
        <sz val="12"/>
        <color rgb="FF000000"/>
        <rFont val="Calibri"/>
      </rPr>
      <t xml:space="preserve">Any </t>
    </r>
    <r>
      <rPr>
        <i/>
        <sz val="12"/>
        <color rgb="FF000000"/>
        <rFont val="Calibri"/>
      </rPr>
      <t>media:video:languagename</t>
    </r>
    <r>
      <rPr>
        <sz val="12"/>
        <color rgb="FF000000"/>
        <rFont val="Calibri"/>
      </rPr>
      <t xml:space="preserve"> column (e.g., </t>
    </r>
    <r>
      <rPr>
        <i/>
        <sz val="12"/>
        <color rgb="FF000000"/>
        <rFont val="Calibri"/>
      </rPr>
      <t>media:video:tamil</t>
    </r>
    <r>
      <rPr>
        <sz val="12"/>
        <color rgb="FF000000"/>
        <rFont val="Calibri"/>
      </rPr>
      <t>) may be added in order to provide video clips for an alternative language.
View the help topic below for more details.</t>
    </r>
  </si>
  <si>
    <r>
      <rPr>
        <sz val="12"/>
        <color rgb="FF000000"/>
        <rFont val="Calibri"/>
      </rPr>
      <t xml:space="preserve">When filtering lists of multiple-choice options, this column specifies, for each field, which prior field should be used when filtering the list of options. 
Example: </t>
    </r>
    <r>
      <rPr>
        <b/>
        <sz val="12"/>
        <color rgb="FF000000"/>
        <rFont val="Calibri"/>
      </rPr>
      <t>filter=${survey_region}</t>
    </r>
    <r>
      <rPr>
        <sz val="12"/>
        <color rgb="FF000000"/>
        <rFont val="Calibri"/>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</si>
  <si>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</si>
  <si>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sz val="12"/>
        <color rgb="FF000000"/>
        <rFont val="Calibri"/>
      </rPr>
      <t xml:space="preserve">This column can specify optional text or symbols to appear in the response area to the right of questions in printable versions of the survey form. For a text field, for example, you might put something like </t>
    </r>
    <r>
      <rPr>
        <b/>
        <sz val="12"/>
        <color rgb="FF000000"/>
        <rFont val="Calibri"/>
      </rPr>
      <t>|___|___|</t>
    </r>
    <r>
      <rPr>
        <sz val="12"/>
        <color rgb="FF000000"/>
        <rFont val="Calibri"/>
      </rPr>
      <t xml:space="preserve"> if you are looking for two letters or numbers; or, for a checkbox, you might put a hollow square like </t>
    </r>
    <r>
      <rPr>
        <b/>
        <sz val="12"/>
        <color rgb="FF000000"/>
        <rFont val="Calibri"/>
      </rPr>
      <t>□</t>
    </r>
    <r>
      <rPr>
        <sz val="12"/>
        <color rgb="FF000000"/>
        <rFont val="Calibri"/>
      </rPr>
      <t xml:space="preserve"> (this is a special HTML character: enter "</t>
    </r>
    <r>
      <rPr>
        <b/>
        <sz val="12"/>
        <color rgb="FF000000"/>
        <rFont val="Calibri"/>
      </rPr>
      <t>&amp;#9633;</t>
    </r>
    <r>
      <rPr>
        <sz val="12"/>
        <color rgb="FF000000"/>
        <rFont val="Calibri"/>
      </rPr>
      <t xml:space="preserve">", without quotes, into this column); finally, for a radio button, you might simply enter a capital </t>
    </r>
    <r>
      <rPr>
        <b/>
        <sz val="12"/>
        <color rgb="FF000000"/>
        <rFont val="Calibri"/>
      </rPr>
      <t>O</t>
    </r>
    <r>
      <rPr>
        <sz val="12"/>
        <color rgb="FF000000"/>
        <rFont val="Calibri"/>
      </rPr>
      <t>.</t>
    </r>
  </si>
  <si>
    <r>
      <rPr>
        <sz val="12"/>
        <color rgb="FF000000"/>
        <rFont val="Calibri"/>
      </rPr>
      <t xml:space="preserve">Enter </t>
    </r>
    <r>
      <rPr>
        <b/>
        <sz val="12"/>
        <color rgb="FF000000"/>
        <rFont val="Calibri"/>
      </rPr>
      <t>yes</t>
    </r>
    <r>
      <rPr>
        <sz val="12"/>
        <color rgb="FF000000"/>
        <rFont val="Calibri"/>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</si>
  <si>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sz val="12"/>
        <color rgb="FF000000"/>
        <rFont val="Calibri"/>
      </rPr>
      <t xml:space="preserve">Enter a number of seconds that represents the minimum time enumerators should spend the first time they view the field. This represents a "speed limit" that can be enforced by SurveyCTO Collect for Android (with the </t>
    </r>
    <r>
      <rPr>
        <i/>
        <sz val="12"/>
        <color rgb="FF000000"/>
        <rFont val="Calibri"/>
      </rPr>
      <t>Enforce minimum times for fields</t>
    </r>
    <r>
      <rPr>
        <sz val="12"/>
        <color rgb="FF000000"/>
        <rFont val="Calibri"/>
      </rPr>
      <t xml:space="preserve"> option within Collect's </t>
    </r>
    <r>
      <rPr>
        <i/>
        <sz val="12"/>
        <color rgb="FF000000"/>
        <rFont val="Calibri"/>
      </rPr>
      <t>Admin Settings</t>
    </r>
    <r>
      <rPr>
        <sz val="12"/>
        <color rgb="FF000000"/>
        <rFont val="Calibri"/>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</si>
  <si>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</si>
  <si>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</si>
  <si>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</si>
  <si>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</si>
  <si>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</si>
  <si>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</si>
  <si>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</si>
  <si>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</si>
  <si>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</si>
  <si>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</si>
  <si>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</si>
  <si>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</si>
  <si>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r>
      <rPr>
        <u/>
        <sz val="12"/>
        <color rgb="FF000000"/>
        <rFont val="Calibri"/>
      </rPr>
      <t>Examples</t>
    </r>
    <r>
      <rPr>
        <u/>
        <sz val="12"/>
        <color rgb="FF000000"/>
        <rFont val="Calibri"/>
      </rPr>
      <t xml:space="preserve"> (scroll right for appearance styles)</t>
    </r>
  </si>
  <si>
    <t>enumerator</t>
  </si>
  <si>
    <t>fieldname</t>
  </si>
  <si>
    <t>Enumerator selection field (require a special code in order to reveal the full enumerator list):</t>
  </si>
  <si>
    <t>other-user-code(xyz)</t>
  </si>
  <si>
    <t>Enumerator selection field (require a special code in order to enter a new enumerator):</t>
  </si>
  <si>
    <t>add-new-code(xyz)</t>
  </si>
  <si>
    <t>Enumerator selection field:</t>
  </si>
  <si>
    <t>default-to-entry</t>
  </si>
  <si>
    <t>default-to-scan</t>
  </si>
  <si>
    <t>Standard text field:</t>
  </si>
  <si>
    <t>Text field which uses the numeric keypad:</t>
  </si>
  <si>
    <t>numbers</t>
  </si>
  <si>
    <t>Standard integer field:</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</si>
  <si>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</si>
  <si>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</si>
  <si>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</si>
  <si>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</si>
  <si>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</si>
  <si>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</si>
  <si>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</si>
  <si>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</si>
  <si>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</si>
  <si>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</si>
  <si>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</si>
  <si>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</si>
  <si>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</si>
  <si>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</si>
  <si>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</si>
  <si>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</si>
  <si>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</si>
  <si>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</si>
  <si>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</si>
  <si>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</si>
  <si>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</si>
  <si>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</si>
  <si>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</si>
  <si>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</si>
  <si>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</si>
  <si>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</si>
  <si>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</si>
  <si>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</si>
  <si>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</si>
  <si>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</si>
  <si>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</si>
  <si>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</si>
  <si>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</si>
  <si>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</si>
  <si>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</si>
  <si>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</si>
  <si>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</si>
  <si>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</si>
  <si>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</si>
  <si>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</si>
  <si>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</si>
  <si>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Standard GPS location-capture field:</t>
  </si>
  <si>
    <t>geoshape</t>
  </si>
  <si>
    <t>Boundary-capture field (GPS polygon):</t>
  </si>
  <si>
    <t>geotrace</t>
  </si>
  <si>
    <t>Boundary- or path-capture field (GPS polyline or polygon):</t>
  </si>
  <si>
    <t>barcode</t>
  </si>
  <si>
    <t>Standard scan-barcode field:</t>
  </si>
  <si>
    <t>date</t>
  </si>
  <si>
    <t>Standard date field:</t>
  </si>
  <si>
    <t>Date field (but for smaller screens):</t>
  </si>
  <si>
    <t>no-calendar</t>
  </si>
  <si>
    <t>datetime</t>
  </si>
  <si>
    <t>Standard date+time field:</t>
  </si>
  <si>
    <t>Date+time field (but for smaller screens):</t>
  </si>
  <si>
    <t>time</t>
  </si>
  <si>
    <t>Standard time field:</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</si>
  <si>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</si>
  <si>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</si>
  <si>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</si>
  <si>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</si>
  <si>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</si>
  <si>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</si>
  <si>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</si>
  <si>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</si>
  <si>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</si>
  <si>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</si>
  <si>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</si>
  <si>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</si>
  <si>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</si>
  <si>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</si>
  <si>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subscriberid</t>
  </si>
  <si>
    <t>simserial</t>
  </si>
  <si>
    <t>comments</t>
  </si>
  <si>
    <t>(${age1}+${age2}+${age3}) div 3</t>
  </si>
  <si>
    <t>calculate_here</t>
  </si>
  <si>
    <t>once(format-date-time(now(), '%Y-%b-%e %H:%M:%S'))</t>
  </si>
  <si>
    <t>p = 50</t>
  </si>
  <si>
    <t>p = 50; eventlog; choices</t>
  </si>
  <si>
    <t>p = 50; s = 0; d = 60</t>
  </si>
  <si>
    <t>p = 50; s = 0-600; d = 60</t>
  </si>
  <si>
    <t>p = 50; s = firstfield; d = lastfield</t>
  </si>
  <si>
    <t>groupname</t>
  </si>
  <si>
    <t>Standard group</t>
  </si>
  <si>
    <t>…</t>
  </si>
  <si>
    <t>repeatname</t>
  </si>
  <si>
    <t>Standard repeated group</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</si>
  <si>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</si>
  <si>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</si>
  <si>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</si>
  <si>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</si>
  <si>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</si>
  <si>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</si>
  <si>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</si>
  <si>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</si>
  <si>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</si>
  <si>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</si>
  <si>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</si>
  <si>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</si>
  <si>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</si>
  <si>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</si>
  <si>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</si>
  <si>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</si>
  <si>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</si>
  <si>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</si>
  <si>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</si>
  <si>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</si>
  <si>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</si>
  <si>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</si>
  <si>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</si>
  <si>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</si>
  <si>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</si>
  <si>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</si>
  <si>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</si>
  <si>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</si>
  <si>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</si>
  <si>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</si>
  <si>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</si>
  <si>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</si>
  <si>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</si>
  <si>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</si>
  <si>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</si>
  <si>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</si>
  <si>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</si>
  <si>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</si>
  <si>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</si>
  <si>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</si>
  <si>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</si>
  <si>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</si>
  <si>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</si>
  <si>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</si>
  <si>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</si>
  <si>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</si>
  <si>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</si>
  <si>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</si>
  <si>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</si>
  <si>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</si>
  <si>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</si>
  <si>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</si>
  <si>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</si>
  <si>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</si>
  <si>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</si>
  <si>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</si>
  <si>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</si>
  <si>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</si>
  <si>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</si>
  <si>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</si>
  <si>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</si>
  <si>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</si>
  <si>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</si>
  <si>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</si>
  <si>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</si>
  <si>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</si>
  <si>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</si>
  <si>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</si>
  <si>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</si>
  <si>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</si>
  <si>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</si>
  <si>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</si>
  <si>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</si>
  <si>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</si>
  <si>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</si>
  <si>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</si>
  <si>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</si>
  <si>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</si>
  <si>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</si>
  <si>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</si>
  <si>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</si>
  <si>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</si>
  <si>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</si>
  <si>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</si>
  <si>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</si>
  <si>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</si>
  <si>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</si>
  <si>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</si>
  <si>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</si>
  <si>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</si>
  <si>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</si>
  <si>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</si>
  <si>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</si>
  <si>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</si>
  <si>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</si>
  <si>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</si>
  <si>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</si>
  <si>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</si>
  <si>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</si>
  <si>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</si>
  <si>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</si>
  <si>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</si>
  <si>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</si>
  <si>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</si>
  <si>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</si>
  <si>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</si>
  <si>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</si>
  <si>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</si>
  <si>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</si>
  <si>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</si>
  <si>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</si>
  <si>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</si>
  <si>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</si>
  <si>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</si>
  <si>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</si>
  <si>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</si>
  <si>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</si>
  <si>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</si>
  <si>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</si>
  <si>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r>
      <rPr>
        <sz val="12"/>
        <color rgb="FF000000"/>
        <rFont val="Calibri"/>
      </rPr>
      <t xml:space="preserve">This worksheet is for the configuration of multiple-choice response options. These are stored in choice lists which are used with </t>
    </r>
    <r>
      <rPr>
        <i/>
        <sz val="12"/>
        <color rgb="FF000000"/>
        <rFont val="Calibri"/>
      </rPr>
      <t>select_one</t>
    </r>
    <r>
      <rPr>
        <sz val="12"/>
        <color rgb="FF000000"/>
        <rFont val="Calibri"/>
      </rPr>
      <t xml:space="preserve"> and </t>
    </r>
    <r>
      <rPr>
        <i/>
        <sz val="12"/>
        <color rgb="FF000000"/>
        <rFont val="Calibri"/>
      </rPr>
      <t>select_multiple</t>
    </r>
    <r>
      <rPr>
        <sz val="12"/>
        <color rgb="FF000000"/>
        <rFont val="Calibri"/>
      </rPr>
      <t xml:space="preserve"> type fields.</t>
    </r>
  </si>
  <si>
    <t>Read about the select_one field type for more information</t>
  </si>
  <si>
    <t>Read about the select_multiple field type for more information</t>
  </si>
  <si>
    <t>Read about dynamically loading choice lists from external pre-loaded data</t>
  </si>
  <si>
    <t>image:languagename</t>
  </si>
  <si>
    <r>
      <rPr>
        <sz val="12"/>
        <color rgb="FF000000"/>
        <rFont val="Calibri"/>
      </rPr>
      <t xml:space="preserve">This column specifies the name of a multiple-choice question type (without any spaces or punctuation). A given list of options will involve multiple rows, each with the same </t>
    </r>
    <r>
      <rPr>
        <i/>
        <sz val="12"/>
        <color rgb="FF000000"/>
        <rFont val="Calibri"/>
      </rPr>
      <t>list_name</t>
    </r>
    <r>
      <rPr>
        <sz val="12"/>
        <color rgb="FF000000"/>
        <rFont val="Calibri"/>
      </rPr>
      <t xml:space="preserve">. Example: </t>
    </r>
    <r>
      <rPr>
        <b/>
        <sz val="12"/>
        <color rgb="FF000000"/>
        <rFont val="Calibri"/>
      </rPr>
      <t>yesno</t>
    </r>
  </si>
  <si>
    <r>
      <rPr>
        <sz val="12"/>
        <color rgb="FF000000"/>
        <rFont val="Calibri"/>
      </rPr>
      <t xml:space="preserve">This column specifies the internal value stored for a given choice. (It should really be called "value" rather than "name".) Example: </t>
    </r>
    <r>
      <rPr>
        <b/>
        <sz val="12"/>
        <color rgb="FF000000"/>
        <rFont val="Calibri"/>
      </rPr>
      <t xml:space="preserve">1
</t>
    </r>
    <r>
      <rPr>
        <sz val="12"/>
        <color rgb="FF000000"/>
        <rFont val="Calibri"/>
      </rPr>
      <t>If dynamically loading from a pre-loaded .csv file, this should instead be the .csv column name from which to load option values.</t>
    </r>
  </si>
  <si>
    <r>
      <rPr>
        <sz val="12"/>
        <color rgb="FF000000"/>
        <rFont val="Calibri"/>
      </rPr>
      <t xml:space="preserve">This column specifies the label to use for a given choice, in the form's default language. Example: </t>
    </r>
    <r>
      <rPr>
        <b/>
        <sz val="12"/>
        <color rgb="FF000000"/>
        <rFont val="Calibri"/>
      </rPr>
      <t xml:space="preserve">Yes
</t>
    </r>
    <r>
      <rPr>
        <sz val="12"/>
        <color rgb="FF000000"/>
        <rFont val="Calibri"/>
      </rPr>
      <t>If dynamically loading from a pre-loaded .csv file, this should instead be the .csv column name -- or comma-separated list of column names -- from which to load option labels for the default language.</t>
    </r>
  </si>
  <si>
    <r>
      <rPr>
        <sz val="12"/>
        <color rgb="FF000000"/>
        <rFont val="Calibri"/>
      </rPr>
      <t xml:space="preserve">Any </t>
    </r>
    <r>
      <rPr>
        <i/>
        <sz val="12"/>
        <color rgb="FF000000"/>
        <rFont val="Calibri"/>
      </rPr>
      <t>label:languagename</t>
    </r>
    <r>
      <rPr>
        <sz val="12"/>
        <color rgb="FF000000"/>
        <rFont val="Calibri"/>
      </rPr>
      <t xml:space="preserve"> column (e.g., </t>
    </r>
    <r>
      <rPr>
        <i/>
        <sz val="12"/>
        <color rgb="FF000000"/>
        <rFont val="Calibri"/>
      </rPr>
      <t>label:tamil</t>
    </r>
    <r>
      <rPr>
        <sz val="12"/>
        <color rgb="FF000000"/>
        <rFont val="Calibri"/>
      </rPr>
      <t>) may be added in order to provide labels in an alternative language.
View the help topic below for more details.</t>
    </r>
  </si>
  <si>
    <r>
      <rPr>
        <sz val="12"/>
        <color rgb="FF000000"/>
        <rFont val="Calibri"/>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rgb="FF000000"/>
        <rFont val="Calibri"/>
      </rPr>
      <t xml:space="preserve">paddy.png
</t>
    </r>
    <r>
      <rPr>
        <sz val="12"/>
        <color rgb="FF000000"/>
        <rFont val="Calibri"/>
      </rPr>
      <t>If dynamically loading from a pre-loaded .csv file, this should instead be the .csv column name from which to load image filenames.
View the help topic below for more details.</t>
    </r>
  </si>
  <si>
    <r>
      <rPr>
        <sz val="12"/>
        <color rgb="FF000000"/>
        <rFont val="Calibri"/>
      </rPr>
      <t xml:space="preserve">Any </t>
    </r>
    <r>
      <rPr>
        <i/>
        <sz val="12"/>
        <color rgb="FF000000"/>
        <rFont val="Calibri"/>
      </rPr>
      <t>label:languagename</t>
    </r>
    <r>
      <rPr>
        <sz val="12"/>
        <color rgb="FF000000"/>
        <rFont val="Calibri"/>
      </rPr>
      <t xml:space="preserve"> column (e.g., </t>
    </r>
    <r>
      <rPr>
        <i/>
        <sz val="12"/>
        <color rgb="FF000000"/>
        <rFont val="Calibri"/>
      </rPr>
      <t>label:tamil</t>
    </r>
    <r>
      <rPr>
        <sz val="12"/>
        <color rgb="FF000000"/>
        <rFont val="Calibri"/>
      </rPr>
      <t>) may be added in order to provide images in an alternative language.</t>
    </r>
  </si>
  <si>
    <r>
      <rPr>
        <sz val="12"/>
        <color rgb="FF000000"/>
        <rFont val="Calibri"/>
      </rPr>
      <t xml:space="preserve">To filter the list of options displayed, a filter value can be specified here, along with a filter expression in the </t>
    </r>
    <r>
      <rPr>
        <i/>
        <sz val="12"/>
        <color rgb="FF000000"/>
        <rFont val="Calibri"/>
      </rPr>
      <t>choice_filter</t>
    </r>
    <r>
      <rPr>
        <sz val="12"/>
        <color rgb="FF000000"/>
        <rFont val="Calibri"/>
      </rPr>
      <t xml:space="preserve"> column of the </t>
    </r>
    <r>
      <rPr>
        <i/>
        <sz val="12"/>
        <color rgb="FF000000"/>
        <rFont val="Calibri"/>
      </rPr>
      <t>survey</t>
    </r>
    <r>
      <rPr>
        <sz val="12"/>
        <color rgb="FF000000"/>
        <rFont val="Calibri"/>
      </rPr>
      <t xml:space="preserve"> worksheet. For example, you might have </t>
    </r>
    <r>
      <rPr>
        <i/>
        <sz val="12"/>
        <color rgb="FF000000"/>
        <rFont val="Calibri"/>
      </rPr>
      <t>filter</t>
    </r>
    <r>
      <rPr>
        <sz val="12"/>
        <color rgb="FF000000"/>
        <rFont val="Calibri"/>
      </rPr>
      <t xml:space="preserve"> values like </t>
    </r>
    <r>
      <rPr>
        <b/>
        <sz val="12"/>
        <color rgb="FF000000"/>
        <rFont val="Calibri"/>
      </rPr>
      <t>LAC</t>
    </r>
    <r>
      <rPr>
        <sz val="12"/>
        <color rgb="FF000000"/>
        <rFont val="Calibri"/>
      </rPr>
      <t xml:space="preserve"> and a </t>
    </r>
    <r>
      <rPr>
        <i/>
        <sz val="12"/>
        <color rgb="FF000000"/>
        <rFont val="Calibri"/>
      </rPr>
      <t>choice_filter</t>
    </r>
    <r>
      <rPr>
        <sz val="12"/>
        <color rgb="FF000000"/>
        <rFont val="Calibri"/>
      </rPr>
      <t xml:space="preserve"> like </t>
    </r>
    <r>
      <rPr>
        <b/>
        <sz val="12"/>
        <color rgb="FF000000"/>
        <rFont val="Calibri"/>
      </rPr>
      <t>filter=${survey_region}</t>
    </r>
    <r>
      <rPr>
        <sz val="12"/>
        <color rgb="FF000000"/>
        <rFont val="Calibri"/>
      </rPr>
      <t xml:space="preserve">. For more details, see the following help topic: </t>
    </r>
    <r>
      <rPr>
        <i/>
        <sz val="12"/>
        <color rgb="FF000000"/>
        <rFont val="Calibri"/>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</si>
  <si>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</si>
  <si>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</si>
  <si>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</si>
  <si>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sz val="12"/>
        <color rgb="FF000000"/>
        <rFont val="Calibri"/>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b/>
        <sz val="12"/>
        <color rgb="FF000000"/>
        <rFont val="Calibri"/>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</si>
  <si>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</si>
  <si>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</si>
  <si>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</si>
  <si>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</si>
  <si>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</si>
  <si>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</si>
  <si>
    <t>English</t>
  </si>
  <si>
    <t>g1use_mechrental</t>
  </si>
  <si>
    <t>Have you heard of salt tolerant rice varieties?</t>
  </si>
  <si>
    <t>Have you heard of drought tolerant rice varieties?</t>
  </si>
  <si>
    <t>Generally, what is the size of the holes of the fishing nets?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</si>
</sst>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2"/>
      <color rgb="FF000000"/>
      <name val="Calibri"/>
      <scheme val="minor"/>
    </font>
    <font>
      <b/>
      <sz val="12"/>
      <color rgb="FF000000"/>
      <name val="Calibri"/>
    </font>
    <font>
      <b/>
      <sz val="12"/>
      <color theme="1"/>
      <name val="Calibri"/>
    </font>
    <font>
      <sz val="12"/>
      <color rgb="FF000000"/>
      <name val="Calibri"/>
    </font>
    <font>
      <sz val="12"/>
      <color theme="1"/>
      <name val="Calibri"/>
    </font>
    <font>
      <sz val="11"/>
      <color theme="1"/>
      <name val="Arial"/>
    </font>
    <font>
      <sz val="12"/>
      <color rgb="FF000000"/>
      <name val="Docs-Calibri"/>
    </font>
    <font>
      <sz val="12"/>
      <color theme="1"/>
      <name val="Calibri"/>
      <scheme val="minor"/>
    </font>
    <font>
      <sz val="12"/>
      <color theme="1"/>
      <name val="Arial"/>
    </font>
    <font>
      <sz val="11"/>
      <color theme="1"/>
      <name val="&quot;nirmala ui&quot;"/>
    </font>
    <font>
      <sz val="12"/>
      <color theme="1"/>
      <name val="Vrinda"/>
    </font>
    <font>
      <i/>
      <sz val="12"/>
      <color rgb="FF000000"/>
      <name val="Calibri"/>
    </font>
    <font>
      <i/>
      <sz val="12"/>
      <color theme="1"/>
      <name val="Calibri"/>
    </font>
    <font>
      <sz val="9"/>
      <color theme="1"/>
      <name val="Vrinda"/>
    </font>
    <font>
      <sz val="9"/>
      <color theme="1"/>
      <name val="Arial"/>
    </font>
    <font>
      <sz val="10"/>
      <color rgb="FF000000"/>
      <name val="Arial"/>
    </font>
    <font>
      <sz val="11"/>
      <color theme="1"/>
      <name val="Vrinda"/>
    </font>
    <font>
      <sz val="11"/>
      <color rgb="FF000000"/>
      <name val="Arial"/>
    </font>
    <font>
      <sz val="12"/>
      <color theme="1"/>
      <name val="&quot;Nirmala UI&quot;"/>
    </font>
    <font>
      <sz val="12"/>
      <color theme="1"/>
      <name val="&quot;Arial Narrow&quot;"/>
    </font>
    <font>
      <b/>
      <sz val="12"/>
      <color rgb="FF000000"/>
      <name val="Arial"/>
    </font>
    <font>
      <sz val="11"/>
      <color rgb="FF000000"/>
      <name val="&quot;Times New Roman&quot;"/>
    </font>
    <font>
      <b/>
      <i/>
      <sz val="12"/>
      <color rgb="FF000000"/>
      <name val="Vrinda"/>
    </font>
    <font>
      <sz val="9"/>
      <color rgb="FF1F1F1F"/>
      <name val="&quot;Google Sans&quot;"/>
    </font>
    <font>
      <sz val="12"/>
      <color rgb="FF000000"/>
      <name val="Docs-Calibri"/>
    </font>
    <font>
      <sz val="11"/>
      <color theme="1"/>
      <name val="&quot;Times New Roman&quot;"/>
    </font>
    <font>
      <sz val="11"/>
      <color rgb="FF000000"/>
      <name val="Vrinda"/>
    </font>
    <font>
      <b/>
      <i/>
      <sz val="12"/>
      <color rgb="FF000000"/>
      <name val="Vrinda"/>
    </font>
    <font>
      <i/>
      <sz val="12"/>
      <color theme="1"/>
      <name val="Calibri"/>
      <scheme val="minor"/>
    </font>
    <font>
      <sz val="12"/>
      <color rgb="FF000000"/>
      <name val="Arial"/>
    </font>
    <font>
      <sz val="12"/>
      <color theme="1"/>
      <name val="Vrinda"/>
    </font>
    <font>
      <sz val="11"/>
      <color rgb="FF000000"/>
      <name val="Calibri"/>
    </font>
    <font>
      <sz val="12"/>
      <color theme="1"/>
      <name val="Arial"/>
    </font>
    <font>
      <sz val="12"/>
      <color theme="1"/>
      <name val="&quot;Times New Roman&quot;"/>
    </font>
    <font>
      <u/>
      <sz val="12"/>
      <color rgb="FF0000D4"/>
      <name val="Calibri"/>
    </font>
    <font>
      <b/>
      <u/>
      <sz val="12"/>
      <color rgb="FF000000"/>
      <name val="Calibri"/>
    </font>
    <font>
      <sz val="12"/>
      <name val="Calibri"/>
    </font>
    <font>
      <i/>
      <u/>
      <sz val="12"/>
      <color rgb="FF0000D4"/>
      <name val="Calibri"/>
    </font>
    <font>
      <i/>
      <u/>
      <sz val="12"/>
      <color rgb="FF0000D4"/>
      <name val="Calibri"/>
    </font>
    <font>
      <i/>
      <u/>
      <sz val="12"/>
      <color rgb="FF0000D4"/>
      <name val="Calibri"/>
    </font>
    <font>
      <i/>
      <u/>
      <sz val="12"/>
      <color rgb="FF0000D4"/>
      <name val="Calibri"/>
    </font>
    <font>
      <u/>
      <sz val="12"/>
      <color rgb="FF000000"/>
      <name val="Calibri"/>
    </font>
    <font>
      <u/>
      <sz val="12"/>
      <color rgb="FF0000D4"/>
      <name val="Calibri"/>
    </font>
    <font>
      <u/>
      <sz val="12"/>
      <color rgb="FF0000D4"/>
      <name val="Calibri"/>
    </font>
    <font>
      <u/>
      <sz val="12"/>
      <color rgb="FF000000"/>
      <name val="Calibri"/>
    </font>
    <font>
      <i/>
      <u/>
      <sz val="12"/>
      <color rgb="FF0000D4"/>
      <name val="Calibri"/>
    </font>
    <font>
      <b/>
      <sz val="12"/>
      <color rgb="FF333333"/>
      <name val="Calibri"/>
    </font>
    <font>
      <sz val="12"/>
      <color rgb="FF333333"/>
      <name val="Calibri"/>
    </font>
    <font>
      <b/>
      <u/>
      <sz val="12"/>
      <color rgb="FF000000"/>
      <name val="Calibri"/>
    </font>
    <font>
      <b/>
      <u/>
      <sz val="12"/>
      <color rgb="FF000000"/>
      <name val="Calibri"/>
    </font>
    <font>
      <i/>
      <u/>
      <sz val="12"/>
      <color rgb="FF0000D4"/>
      <name val="Calibri"/>
    </font>
    <font>
      <i/>
      <u/>
      <sz val="12"/>
      <color rgb="FF0000D4"/>
      <name val="Calibri"/>
    </font>
    <font>
      <i/>
      <u/>
      <sz val="12"/>
      <color rgb="FF0000D4"/>
      <name val="Calibri"/>
    </font>
    <font>
      <b/>
      <u/>
      <sz val="12"/>
      <color rgb="FF000000"/>
      <name val="Calibri"/>
    </font>
  </fonts>
  <fills count="25">
    <fill>
      <patternFill patternType="none"/>
    </fill>
    <fill>
      <patternFill patternType="gray125"/>
    </fill>
    <fill>
      <patternFill patternType="solid">
        <fgColor rgb="FFD8D8D8"/>
        <bgColor rgb="FFD8D8D8"/>
      </patternFill>
    </fill>
    <fill>
      <patternFill patternType="solid">
        <fgColor rgb="FFFF0000"/>
        <bgColor rgb="FFFF0000"/>
      </patternFill>
    </fill>
    <fill>
      <patternFill patternType="solid">
        <fgColor rgb="FFFF6969"/>
        <bgColor rgb="FFFF6969"/>
      </patternFill>
    </fill>
    <fill>
      <patternFill patternType="solid">
        <fgColor rgb="FFD6E3BC"/>
        <bgColor rgb="FFD6E3BC"/>
      </patternFill>
    </fill>
    <fill>
      <patternFill patternType="solid">
        <fgColor rgb="FFEAF1DD"/>
        <bgColor rgb="FFEAF1DD"/>
      </patternFill>
    </fill>
    <fill>
      <patternFill patternType="solid">
        <fgColor rgb="FFE4E300"/>
        <bgColor rgb="FFE4E300"/>
      </patternFill>
    </fill>
    <fill>
      <patternFill patternType="solid">
        <fgColor rgb="FFFBFB00"/>
        <bgColor rgb="FFFBFB00"/>
      </patternFill>
    </fill>
    <fill>
      <patternFill patternType="solid">
        <fgColor rgb="FF99BCE7"/>
        <bgColor rgb="FF99BCE7"/>
      </patternFill>
    </fill>
    <fill>
      <patternFill patternType="solid">
        <fgColor rgb="FFDBE5F1"/>
        <bgColor rgb="FFDBE5F1"/>
      </patternFill>
    </fill>
    <fill>
      <patternFill patternType="solid">
        <fgColor rgb="FFFBD4B4"/>
        <bgColor rgb="FFFBD4B4"/>
      </patternFill>
    </fill>
    <fill>
      <patternFill patternType="solid">
        <fgColor rgb="FFFABF8F"/>
        <bgColor rgb="FFFABF8F"/>
      </patternFill>
    </fill>
    <fill>
      <patternFill patternType="solid">
        <fgColor rgb="FFFF9900"/>
        <bgColor rgb="FFFF9900"/>
      </patternFill>
    </fill>
    <fill>
      <patternFill patternType="solid">
        <fgColor rgb="FFFFBB57"/>
        <bgColor rgb="FFFFBB57"/>
      </patternFill>
    </fill>
    <fill>
      <patternFill patternType="solid">
        <fgColor rgb="FFC4BD97"/>
        <bgColor rgb="FFC4BD97"/>
      </patternFill>
    </fill>
    <fill>
      <patternFill patternType="solid">
        <fgColor rgb="FFE3E0CF"/>
        <bgColor rgb="FFE3E0CF"/>
      </patternFill>
    </fill>
    <fill>
      <patternFill patternType="solid">
        <fgColor rgb="FFDCC97A"/>
        <bgColor rgb="FFDCC97A"/>
      </patternFill>
    </fill>
    <fill>
      <patternFill patternType="solid">
        <fgColor rgb="FFE7D480"/>
        <bgColor rgb="FFE7D480"/>
      </patternFill>
    </fill>
    <fill>
      <patternFill patternType="solid">
        <fgColor rgb="FFFFFF00"/>
        <bgColor rgb="FFFFFF00"/>
      </patternFill>
    </fill>
    <fill>
      <patternFill patternType="solid">
        <fgColor rgb="FFFFFFFF"/>
        <bgColor rgb="FFFFFFFF"/>
      </patternFill>
    </fill>
    <fill>
      <patternFill patternType="solid">
        <fgColor rgb="FFFFD44B"/>
        <bgColor rgb="FFFFD44B"/>
      </patternFill>
    </fill>
    <fill>
      <patternFill patternType="solid">
        <fgColor rgb="FFEEB400"/>
        <bgColor rgb="FFEEB400"/>
      </patternFill>
    </fill>
    <fill>
      <patternFill patternType="solid">
        <fgColor rgb="FFDAEEF3"/>
        <bgColor rgb="FFDAEEF3"/>
      </patternFill>
    </fill>
    <fill>
      <patternFill patternType="solid">
        <fgColor rgb="FFFDE9D9"/>
        <bgColor rgb="FFFDE9D9"/>
      </patternFill>
    </fill>
  </fills>
  <borders count="58">
    <border>
      <left/>
      <right/>
      <top/>
      <bottom/>
      <diagonal/>
    </border>
    <border>
      <left style="thin">
        <color rgb="FF7F7F7F"/>
      </left>
      <right style="thin">
        <color rgb="FF7F7F7F"/>
      </right>
      <top style="thin">
        <color rgb="FF7F7F7F"/>
      </top>
      <bottom style="thin">
        <color rgb="FF7F7F7F"/>
      </bottom>
      <diagonal/>
    </border>
    <border>
      <left/>
      <right/>
      <top/>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thin">
        <color rgb="FF7F7F7F"/>
      </bottom>
      <diagonal/>
    </border>
    <border>
      <left/>
      <right/>
      <top style="thin">
        <color rgb="FF7F7F7F"/>
      </top>
      <bottom/>
      <diagonal/>
    </border>
    <border>
      <left style="thin">
        <color rgb="FF7F7F7F"/>
      </left>
      <right style="thin">
        <color rgb="FF7F7F7F"/>
      </right>
      <top/>
      <bottom style="thin">
        <color rgb="FF7F7F7F"/>
      </bottom>
      <diagonal/>
    </border>
    <border>
      <left/>
      <right style="thin">
        <color rgb="FF7F7F7F"/>
      </right>
      <top/>
      <bottom style="thin">
        <color rgb="FF7F7F7F"/>
      </bottom>
      <diagonal/>
    </border>
    <border>
      <left/>
      <right/>
      <top/>
      <bottom style="thin">
        <color rgb="FF7F7F7F"/>
      </bottom>
      <diagonal/>
    </border>
    <border>
      <left style="thin">
        <color rgb="FF7F7F7F"/>
      </left>
      <right style="thin">
        <color rgb="FF7F7F7F"/>
      </right>
      <top style="thin">
        <color rgb="FF7F7F7F"/>
      </top>
      <bottom/>
      <diagonal/>
    </border>
    <border>
      <left/>
      <right style="thin">
        <color rgb="FF7F7F7F"/>
      </right>
      <top style="thin">
        <color rgb="FF7F7F7F"/>
      </top>
      <bottom/>
      <diagonal/>
    </border>
    <border>
      <left style="thin">
        <color rgb="FF7F7F7F"/>
      </left>
      <right style="thin">
        <color rgb="FF7F7F7F"/>
      </right>
      <top/>
      <bottom/>
      <diagonal/>
    </border>
    <border>
      <left/>
      <right style="thin">
        <color rgb="FF7F7F7F"/>
      </right>
      <top/>
      <bottom/>
      <diagonal/>
    </border>
    <border>
      <left/>
      <right/>
      <top/>
      <bottom style="thin">
        <color rgb="FF7F7F7F"/>
      </bottom>
      <diagonal/>
    </border>
    <border>
      <left/>
      <right/>
      <top style="thin">
        <color rgb="FF000000"/>
      </top>
      <bottom style="thin">
        <color rgb="FF7F7F7F"/>
      </bottom>
      <diagonal/>
    </border>
    <border>
      <left/>
      <right style="thin">
        <color rgb="FF7F7F7F"/>
      </right>
      <top style="thin">
        <color rgb="FF7F7F7F"/>
      </top>
      <bottom style="medium">
        <color rgb="FF7F7F7F"/>
      </bottom>
      <diagonal/>
    </border>
    <border>
      <left/>
      <right/>
      <top/>
      <bottom style="medium">
        <color rgb="FF7F7F7F"/>
      </bottom>
      <diagonal/>
    </border>
    <border>
      <left/>
      <right style="medium">
        <color rgb="FF7F7F7F"/>
      </right>
      <top/>
      <bottom style="medium">
        <color rgb="FF7F7F7F"/>
      </bottom>
      <diagonal/>
    </border>
    <border>
      <left style="medium">
        <color rgb="FF7F7F7F"/>
      </left>
      <right style="medium">
        <color rgb="FF7F7F7F"/>
      </right>
      <top/>
      <bottom style="medium">
        <color rgb="FF7F7F7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C1C7CD"/>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right style="thin">
        <color rgb="FFBFBFBF"/>
      </right>
      <top/>
      <bottom/>
      <diagonal/>
    </border>
    <border>
      <left/>
      <right/>
      <top/>
      <bottom style="thin">
        <color rgb="FFBFBFBF"/>
      </bottom>
      <diagonal/>
    </border>
    <border>
      <left style="thin">
        <color rgb="FFBFBFBF"/>
      </left>
      <right style="thin">
        <color rgb="FFBFBFBF"/>
      </right>
      <top/>
      <bottom/>
      <diagonal/>
    </border>
    <border>
      <left style="thin">
        <color rgb="FFBFBFBF"/>
      </left>
      <right style="thin">
        <color rgb="FFBFBFBF"/>
      </right>
      <top style="thin">
        <color rgb="FF000000"/>
      </top>
      <bottom style="thin">
        <color rgb="FF000000"/>
      </bottom>
      <diagonal/>
    </border>
    <border>
      <left/>
      <right style="thin">
        <color rgb="FFBFBFBF"/>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7F7F7F"/>
      </left>
      <right style="thin">
        <color rgb="FF7F7F7F"/>
      </right>
      <top style="thin">
        <color rgb="FF7F7F7F"/>
      </top>
      <bottom/>
      <diagonal/>
    </border>
    <border>
      <left style="thin">
        <color rgb="FF7F7F7F"/>
      </left>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000000"/>
      </bottom>
      <diagonal/>
    </border>
    <border>
      <left style="thin">
        <color rgb="FF000000"/>
      </left>
      <right/>
      <top/>
      <bottom/>
      <diagonal/>
    </border>
    <border>
      <left/>
      <right style="thin">
        <color rgb="FF000000"/>
      </right>
      <top/>
      <bottom/>
      <diagonal/>
    </border>
    <border>
      <left style="thin">
        <color rgb="FF7F7F7F"/>
      </left>
      <right/>
      <top style="thin">
        <color rgb="FF7F7F7F"/>
      </top>
      <bottom/>
      <diagonal/>
    </border>
    <border>
      <left/>
      <right style="thin">
        <color rgb="FF7F7F7F"/>
      </right>
      <top style="thin">
        <color rgb="FF7F7F7F"/>
      </top>
      <bottom/>
      <diagonal/>
    </border>
    <border>
      <left style="thin">
        <color rgb="FF7F7F7F"/>
      </left>
      <right/>
      <top/>
      <bottom/>
      <diagonal/>
    </border>
    <border>
      <left/>
      <right style="thin">
        <color rgb="FF7F7F7F"/>
      </right>
      <top/>
      <bottom/>
      <diagonal/>
    </border>
    <border>
      <left style="thin">
        <color rgb="FF7F7F7F"/>
      </left>
      <right/>
      <top/>
      <bottom style="thin">
        <color rgb="FF7F7F7F"/>
      </bottom>
      <diagonal/>
    </border>
    <border>
      <left/>
      <right style="thin">
        <color rgb="FF7F7F7F"/>
      </right>
      <top/>
      <bottom style="thin">
        <color rgb="FF7F7F7F"/>
      </bottom>
      <diagonal/>
    </border>
  </borders>
  <cellStyleXfs count="1">
    <xf numFmtId="0" fontId="0" fillId="0" borderId="0"/>
  </cellStyleXfs>
  <cellXfs count="335">
    <xf numFmtId="0" fontId="0" fillId="0" borderId="0" xfId="0"/>
    <xf numFmtId="0" fontId="1" fillId="2" borderId="1" xfId="0" applyFont="1" applyFill="1" applyBorder="1"/>
    <xf numFmtId="49" fontId="1" fillId="2" borderId="1" xfId="0" applyNumberFormat="1" applyFont="1" applyFill="1" applyBorder="1"/>
    <xf numFmtId="49" fontId="1" fillId="2" borderId="1" xfId="0" applyNumberFormat="1" applyFont="1" applyFill="1" applyBorder="1" applyAlignment="1">
      <alignment wrapText="1"/>
    </xf>
    <xf numFmtId="0" fontId="1" fillId="2" borderId="1" xfId="0" applyFont="1" applyFill="1" applyBorder="1" applyAlignment="1">
      <alignment wrapText="1"/>
    </xf>
    <xf numFmtId="0" fontId="2" fillId="2" borderId="1" xfId="0" applyFont="1" applyFill="1" applyBorder="1"/>
    <xf numFmtId="0" fontId="1" fillId="2" borderId="2" xfId="0" applyFont="1" applyFill="1" applyBorder="1"/>
    <xf numFmtId="0" fontId="3" fillId="0" borderId="1" xfId="0" applyFont="1" applyBorder="1"/>
    <xf numFmtId="0" fontId="3" fillId="0" borderId="1" xfId="0" applyFont="1" applyBorder="1" applyAlignment="1">
      <alignment wrapText="1"/>
    </xf>
    <xf numFmtId="49" fontId="3" fillId="0" borderId="1" xfId="0" applyNumberFormat="1" applyFont="1" applyBorder="1"/>
    <xf numFmtId="49" fontId="3" fillId="0" borderId="1" xfId="0" applyNumberFormat="1" applyFont="1" applyBorder="1" applyAlignment="1">
      <alignment wrapText="1"/>
    </xf>
    <xf numFmtId="0" fontId="3" fillId="0" borderId="0" xfId="0" applyFont="1"/>
    <xf numFmtId="0" fontId="3" fillId="0" borderId="3" xfId="0" applyFont="1" applyBorder="1" applyAlignment="1">
      <alignment wrapText="1"/>
    </xf>
    <xf numFmtId="49" fontId="3" fillId="0" borderId="3" xfId="0" applyNumberFormat="1" applyFont="1" applyBorder="1"/>
    <xf numFmtId="49" fontId="3" fillId="0" borderId="3" xfId="0" applyNumberFormat="1" applyFont="1" applyBorder="1" applyAlignment="1">
      <alignment wrapText="1"/>
    </xf>
    <xf numFmtId="0" fontId="3" fillId="0" borderId="4" xfId="0" applyFont="1" applyBorder="1"/>
    <xf numFmtId="0" fontId="4" fillId="3" borderId="1" xfId="0" applyFont="1" applyFill="1" applyBorder="1"/>
    <xf numFmtId="0" fontId="4" fillId="4" borderId="5" xfId="0" applyFont="1" applyFill="1" applyBorder="1" applyAlignment="1">
      <alignment wrapText="1"/>
    </xf>
    <xf numFmtId="49" fontId="4" fillId="3" borderId="5" xfId="0" applyNumberFormat="1" applyFont="1" applyFill="1" applyBorder="1"/>
    <xf numFmtId="49" fontId="4" fillId="3" borderId="5" xfId="0" applyNumberFormat="1" applyFont="1" applyFill="1" applyBorder="1" applyAlignment="1">
      <alignment wrapText="1"/>
    </xf>
    <xf numFmtId="0" fontId="4" fillId="3" borderId="5" xfId="0" applyFont="1" applyFill="1" applyBorder="1" applyAlignment="1">
      <alignment wrapText="1"/>
    </xf>
    <xf numFmtId="0" fontId="4" fillId="4" borderId="6" xfId="0" applyFont="1" applyFill="1" applyBorder="1"/>
    <xf numFmtId="0" fontId="4" fillId="0" borderId="0" xfId="0" applyFont="1"/>
    <xf numFmtId="0" fontId="4" fillId="3" borderId="7" xfId="0" applyFont="1" applyFill="1" applyBorder="1"/>
    <xf numFmtId="0" fontId="4" fillId="4" borderId="8" xfId="0" applyFont="1" applyFill="1" applyBorder="1" applyAlignment="1">
      <alignment wrapText="1"/>
    </xf>
    <xf numFmtId="49" fontId="4" fillId="3" borderId="8" xfId="0" applyNumberFormat="1" applyFont="1" applyFill="1" applyBorder="1"/>
    <xf numFmtId="49" fontId="4" fillId="3" borderId="8" xfId="0" applyNumberFormat="1" applyFont="1" applyFill="1" applyBorder="1" applyAlignment="1">
      <alignment wrapText="1"/>
    </xf>
    <xf numFmtId="0" fontId="4" fillId="3" borderId="8" xfId="0" applyFont="1" applyFill="1" applyBorder="1" applyAlignment="1">
      <alignment wrapText="1"/>
    </xf>
    <xf numFmtId="0" fontId="4" fillId="4" borderId="8" xfId="0" applyFont="1" applyFill="1" applyBorder="1"/>
    <xf numFmtId="0" fontId="4" fillId="5" borderId="1" xfId="0" applyFont="1" applyFill="1" applyBorder="1"/>
    <xf numFmtId="0" fontId="4" fillId="6" borderId="3" xfId="0" applyFont="1" applyFill="1" applyBorder="1" applyAlignment="1">
      <alignment wrapText="1"/>
    </xf>
    <xf numFmtId="49" fontId="4" fillId="6" borderId="3" xfId="0" applyNumberFormat="1" applyFont="1" applyFill="1" applyBorder="1"/>
    <xf numFmtId="49" fontId="4" fillId="6" borderId="9" xfId="0" applyNumberFormat="1" applyFont="1" applyFill="1" applyBorder="1" applyAlignment="1">
      <alignment wrapText="1"/>
    </xf>
    <xf numFmtId="49" fontId="4" fillId="6" borderId="3" xfId="0" applyNumberFormat="1" applyFont="1" applyFill="1" applyBorder="1" applyAlignment="1">
      <alignment wrapText="1"/>
    </xf>
    <xf numFmtId="0" fontId="4" fillId="5" borderId="9" xfId="0" applyFont="1" applyFill="1" applyBorder="1"/>
    <xf numFmtId="0" fontId="4" fillId="5" borderId="3" xfId="0" applyFont="1" applyFill="1" applyBorder="1"/>
    <xf numFmtId="0" fontId="4" fillId="6" borderId="4" xfId="0" applyFont="1" applyFill="1" applyBorder="1"/>
    <xf numFmtId="0" fontId="4" fillId="5" borderId="4" xfId="0" applyFont="1" applyFill="1" applyBorder="1"/>
    <xf numFmtId="0" fontId="4" fillId="5" borderId="3" xfId="0" applyFont="1" applyFill="1" applyBorder="1" applyAlignment="1">
      <alignment wrapText="1"/>
    </xf>
    <xf numFmtId="0" fontId="4" fillId="7" borderId="10" xfId="0" applyFont="1" applyFill="1" applyBorder="1"/>
    <xf numFmtId="0" fontId="4" fillId="8" borderId="11" xfId="0" applyFont="1" applyFill="1" applyBorder="1" applyAlignment="1">
      <alignment wrapText="1"/>
    </xf>
    <xf numFmtId="49" fontId="4" fillId="7" borderId="11" xfId="0" applyNumberFormat="1" applyFont="1" applyFill="1" applyBorder="1"/>
    <xf numFmtId="49" fontId="4" fillId="7" borderId="0" xfId="0" applyNumberFormat="1" applyFont="1" applyFill="1"/>
    <xf numFmtId="49" fontId="4" fillId="7" borderId="11" xfId="0" applyNumberFormat="1" applyFont="1" applyFill="1" applyBorder="1" applyAlignment="1">
      <alignment wrapText="1"/>
    </xf>
    <xf numFmtId="0" fontId="4" fillId="7" borderId="0" xfId="0" applyFont="1" applyFill="1"/>
    <xf numFmtId="0" fontId="4" fillId="7" borderId="11" xfId="0" applyFont="1" applyFill="1" applyBorder="1"/>
    <xf numFmtId="0" fontId="4" fillId="7" borderId="12" xfId="0" applyFont="1" applyFill="1" applyBorder="1"/>
    <xf numFmtId="0" fontId="4" fillId="8" borderId="12" xfId="0" applyFont="1" applyFill="1" applyBorder="1" applyAlignment="1">
      <alignment wrapText="1"/>
    </xf>
    <xf numFmtId="0" fontId="4" fillId="5" borderId="10" xfId="0" applyFont="1" applyFill="1" applyBorder="1"/>
    <xf numFmtId="0" fontId="4" fillId="6" borderId="11" xfId="0" applyFont="1" applyFill="1" applyBorder="1" applyAlignment="1">
      <alignment wrapText="1"/>
    </xf>
    <xf numFmtId="49" fontId="4" fillId="6" borderId="11" xfId="0" applyNumberFormat="1" applyFont="1" applyFill="1" applyBorder="1"/>
    <xf numFmtId="49" fontId="4" fillId="6" borderId="0" xfId="0" applyNumberFormat="1" applyFont="1" applyFill="1" applyAlignment="1">
      <alignment wrapText="1"/>
    </xf>
    <xf numFmtId="49" fontId="4" fillId="6" borderId="11" xfId="0" applyNumberFormat="1" applyFont="1" applyFill="1" applyBorder="1" applyAlignment="1">
      <alignment wrapText="1"/>
    </xf>
    <xf numFmtId="0" fontId="4" fillId="5" borderId="0" xfId="0" applyFont="1" applyFill="1"/>
    <xf numFmtId="0" fontId="4" fillId="5" borderId="11" xfId="0" applyFont="1" applyFill="1" applyBorder="1"/>
    <xf numFmtId="0" fontId="4" fillId="6" borderId="12" xfId="0" applyFont="1" applyFill="1" applyBorder="1"/>
    <xf numFmtId="0" fontId="4" fillId="5" borderId="12" xfId="0" applyFont="1" applyFill="1" applyBorder="1"/>
    <xf numFmtId="49" fontId="4" fillId="7" borderId="12" xfId="0" applyNumberFormat="1" applyFont="1" applyFill="1" applyBorder="1"/>
    <xf numFmtId="0" fontId="4" fillId="5" borderId="13" xfId="0" applyFont="1" applyFill="1" applyBorder="1"/>
    <xf numFmtId="0" fontId="4" fillId="6" borderId="14" xfId="0" applyFont="1" applyFill="1" applyBorder="1" applyAlignment="1">
      <alignment wrapText="1"/>
    </xf>
    <xf numFmtId="49" fontId="4" fillId="6" borderId="9" xfId="0" applyNumberFormat="1" applyFont="1" applyFill="1" applyBorder="1"/>
    <xf numFmtId="49" fontId="5" fillId="6" borderId="0" xfId="0" applyNumberFormat="1" applyFont="1" applyFill="1" applyAlignment="1">
      <alignment wrapText="1"/>
    </xf>
    <xf numFmtId="0" fontId="4" fillId="6" borderId="9" xfId="0" applyFont="1" applyFill="1" applyBorder="1"/>
    <xf numFmtId="0" fontId="4" fillId="5" borderId="15" xfId="0" applyFont="1" applyFill="1" applyBorder="1"/>
    <xf numFmtId="0" fontId="4" fillId="6" borderId="16" xfId="0" applyFont="1" applyFill="1" applyBorder="1" applyAlignment="1">
      <alignment wrapText="1"/>
    </xf>
    <xf numFmtId="49" fontId="4" fillId="6" borderId="0" xfId="0" applyNumberFormat="1" applyFont="1" applyFill="1"/>
    <xf numFmtId="0" fontId="4" fillId="6" borderId="0" xfId="0" applyFont="1" applyFill="1"/>
    <xf numFmtId="49" fontId="4" fillId="7" borderId="0" xfId="0" applyNumberFormat="1" applyFont="1" applyFill="1" applyAlignment="1">
      <alignment wrapText="1"/>
    </xf>
    <xf numFmtId="0" fontId="4" fillId="7" borderId="0" xfId="0" applyFont="1" applyFill="1" applyAlignment="1">
      <alignment wrapText="1"/>
    </xf>
    <xf numFmtId="0" fontId="4" fillId="7" borderId="11" xfId="0" applyFont="1" applyFill="1" applyBorder="1" applyAlignment="1">
      <alignment wrapText="1"/>
    </xf>
    <xf numFmtId="0" fontId="3" fillId="0" borderId="12" xfId="0" applyFont="1" applyBorder="1"/>
    <xf numFmtId="0" fontId="6" fillId="9" borderId="0" xfId="0" applyFont="1" applyFill="1" applyAlignment="1">
      <alignment horizontal="left"/>
    </xf>
    <xf numFmtId="0" fontId="3" fillId="10" borderId="0" xfId="0" applyFont="1" applyFill="1" applyAlignment="1">
      <alignment horizontal="left"/>
    </xf>
    <xf numFmtId="0" fontId="4" fillId="7" borderId="12" xfId="0" applyFont="1" applyFill="1" applyBorder="1" applyAlignment="1">
      <alignment wrapText="1"/>
    </xf>
    <xf numFmtId="49" fontId="7" fillId="0" borderId="0" xfId="0" applyNumberFormat="1" applyFont="1"/>
    <xf numFmtId="49" fontId="8" fillId="0" borderId="0" xfId="0" applyNumberFormat="1" applyFont="1"/>
    <xf numFmtId="0" fontId="4" fillId="7" borderId="7" xfId="0" applyFont="1" applyFill="1" applyBorder="1"/>
    <xf numFmtId="0" fontId="4" fillId="8" borderId="8" xfId="0" applyFont="1" applyFill="1" applyBorder="1" applyAlignment="1">
      <alignment wrapText="1"/>
    </xf>
    <xf numFmtId="49" fontId="4" fillId="7" borderId="8" xfId="0" applyNumberFormat="1" applyFont="1" applyFill="1" applyBorder="1" applyAlignment="1">
      <alignment wrapText="1"/>
    </xf>
    <xf numFmtId="49" fontId="4" fillId="7" borderId="2" xfId="0" applyNumberFormat="1" applyFont="1" applyFill="1" applyBorder="1" applyAlignment="1">
      <alignment wrapText="1"/>
    </xf>
    <xf numFmtId="49" fontId="4" fillId="6" borderId="5" xfId="0" applyNumberFormat="1" applyFont="1" applyFill="1" applyBorder="1" applyAlignment="1">
      <alignment wrapText="1"/>
    </xf>
    <xf numFmtId="0" fontId="4" fillId="7" borderId="2" xfId="0" applyFont="1" applyFill="1" applyBorder="1" applyAlignment="1">
      <alignment wrapText="1"/>
    </xf>
    <xf numFmtId="0" fontId="4" fillId="7" borderId="8" xfId="0" applyFont="1" applyFill="1" applyBorder="1" applyAlignment="1">
      <alignment wrapText="1"/>
    </xf>
    <xf numFmtId="0" fontId="4" fillId="8" borderId="17" xfId="0" applyFont="1" applyFill="1" applyBorder="1" applyAlignment="1">
      <alignment wrapText="1"/>
    </xf>
    <xf numFmtId="0" fontId="4" fillId="7" borderId="17" xfId="0" applyFont="1" applyFill="1" applyBorder="1" applyAlignment="1">
      <alignment wrapText="1"/>
    </xf>
    <xf numFmtId="49" fontId="5" fillId="0" borderId="0" xfId="0" applyNumberFormat="1" applyFont="1" applyAlignment="1">
      <alignment wrapText="1"/>
    </xf>
    <xf numFmtId="0" fontId="3" fillId="0" borderId="0" xfId="0" applyFont="1" applyAlignment="1">
      <alignment wrapText="1"/>
    </xf>
    <xf numFmtId="49" fontId="9" fillId="0" borderId="0" xfId="0" applyNumberFormat="1" applyFont="1" applyAlignment="1">
      <alignment wrapText="1"/>
    </xf>
    <xf numFmtId="49" fontId="5" fillId="6" borderId="12" xfId="0" applyNumberFormat="1" applyFont="1" applyFill="1" applyBorder="1" applyAlignment="1">
      <alignment wrapText="1"/>
    </xf>
    <xf numFmtId="0" fontId="4" fillId="5" borderId="16" xfId="0" applyFont="1" applyFill="1" applyBorder="1"/>
    <xf numFmtId="0" fontId="4" fillId="6" borderId="3" xfId="0" applyFont="1" applyFill="1" applyBorder="1"/>
    <xf numFmtId="0" fontId="3" fillId="5" borderId="0" xfId="0" applyFont="1" applyFill="1" applyAlignment="1">
      <alignment horizontal="left"/>
    </xf>
    <xf numFmtId="0" fontId="3" fillId="9" borderId="0" xfId="0" applyFont="1" applyFill="1" applyAlignment="1">
      <alignment horizontal="left"/>
    </xf>
    <xf numFmtId="49" fontId="10" fillId="0" borderId="0" xfId="0" applyNumberFormat="1" applyFont="1"/>
    <xf numFmtId="0" fontId="11" fillId="0" borderId="1" xfId="0" applyFont="1" applyBorder="1" applyAlignment="1">
      <alignment wrapText="1"/>
    </xf>
    <xf numFmtId="49" fontId="5" fillId="11" borderId="18" xfId="0" applyNumberFormat="1" applyFont="1" applyFill="1" applyBorder="1" applyAlignment="1">
      <alignment wrapText="1"/>
    </xf>
    <xf numFmtId="0" fontId="3" fillId="11" borderId="1" xfId="0" applyFont="1" applyFill="1" applyBorder="1" applyAlignment="1">
      <alignment horizontal="left"/>
    </xf>
    <xf numFmtId="0" fontId="3" fillId="12" borderId="1" xfId="0" applyFont="1" applyFill="1" applyBorder="1" applyAlignment="1">
      <alignment horizontal="left"/>
    </xf>
    <xf numFmtId="0" fontId="3" fillId="11" borderId="1" xfId="0" applyFont="1" applyFill="1" applyBorder="1"/>
    <xf numFmtId="0" fontId="4" fillId="13" borderId="1" xfId="0" applyFont="1" applyFill="1" applyBorder="1"/>
    <xf numFmtId="0" fontId="4" fillId="14" borderId="3" xfId="0" applyFont="1" applyFill="1" applyBorder="1"/>
    <xf numFmtId="49" fontId="4" fillId="14" borderId="3" xfId="0" applyNumberFormat="1" applyFont="1" applyFill="1" applyBorder="1" applyAlignment="1">
      <alignment wrapText="1"/>
    </xf>
    <xf numFmtId="0" fontId="4" fillId="13" borderId="3" xfId="0" applyFont="1" applyFill="1" applyBorder="1"/>
    <xf numFmtId="0" fontId="4" fillId="13" borderId="19" xfId="0" applyFont="1" applyFill="1" applyBorder="1"/>
    <xf numFmtId="0" fontId="4" fillId="14" borderId="4" xfId="0" applyFont="1" applyFill="1" applyBorder="1"/>
    <xf numFmtId="0" fontId="4" fillId="7" borderId="20" xfId="0" applyFont="1" applyFill="1" applyBorder="1" applyAlignment="1">
      <alignment wrapText="1"/>
    </xf>
    <xf numFmtId="0" fontId="4" fillId="8" borderId="21" xfId="0" applyFont="1" applyFill="1" applyBorder="1" applyAlignment="1">
      <alignment wrapText="1"/>
    </xf>
    <xf numFmtId="49" fontId="12" fillId="7" borderId="20" xfId="0" applyNumberFormat="1" applyFont="1" applyFill="1" applyBorder="1"/>
    <xf numFmtId="49" fontId="4" fillId="7" borderId="20" xfId="0" applyNumberFormat="1" applyFont="1" applyFill="1" applyBorder="1"/>
    <xf numFmtId="0" fontId="4" fillId="7" borderId="20" xfId="0" applyFont="1" applyFill="1" applyBorder="1"/>
    <xf numFmtId="0" fontId="4" fillId="8" borderId="20" xfId="0" applyFont="1" applyFill="1" applyBorder="1"/>
    <xf numFmtId="0" fontId="4" fillId="0" borderId="16" xfId="0" applyFont="1" applyBorder="1"/>
    <xf numFmtId="0" fontId="4" fillId="7" borderId="22" xfId="0" applyFont="1" applyFill="1" applyBorder="1" applyAlignment="1">
      <alignment wrapText="1"/>
    </xf>
    <xf numFmtId="0" fontId="4" fillId="7" borderId="21" xfId="0" applyFont="1" applyFill="1" applyBorder="1"/>
    <xf numFmtId="0" fontId="4" fillId="8" borderId="21" xfId="0" applyFont="1" applyFill="1" applyBorder="1"/>
    <xf numFmtId="49" fontId="12" fillId="7" borderId="20" xfId="0" applyNumberFormat="1" applyFont="1" applyFill="1" applyBorder="1" applyAlignment="1">
      <alignment wrapText="1"/>
    </xf>
    <xf numFmtId="49" fontId="13" fillId="0" borderId="0" xfId="0" applyNumberFormat="1" applyFont="1"/>
    <xf numFmtId="0" fontId="4" fillId="10" borderId="3" xfId="0" applyFont="1" applyFill="1" applyBorder="1" applyAlignment="1">
      <alignment wrapText="1"/>
    </xf>
    <xf numFmtId="0" fontId="4" fillId="10" borderId="1" xfId="0" applyFont="1" applyFill="1" applyBorder="1" applyAlignment="1">
      <alignment wrapText="1"/>
    </xf>
    <xf numFmtId="0" fontId="13" fillId="10" borderId="14" xfId="0" applyFont="1" applyFill="1" applyBorder="1"/>
    <xf numFmtId="49" fontId="14" fillId="0" borderId="0" xfId="0" applyNumberFormat="1" applyFont="1"/>
    <xf numFmtId="0" fontId="3" fillId="0" borderId="3" xfId="0" applyFont="1" applyBorder="1"/>
    <xf numFmtId="0" fontId="4" fillId="15" borderId="1" xfId="0" applyFont="1" applyFill="1" applyBorder="1"/>
    <xf numFmtId="0" fontId="4" fillId="16" borderId="3" xfId="0" applyFont="1" applyFill="1" applyBorder="1" applyAlignment="1">
      <alignment wrapText="1"/>
    </xf>
    <xf numFmtId="49" fontId="4" fillId="16" borderId="3" xfId="0" applyNumberFormat="1" applyFont="1" applyFill="1" applyBorder="1"/>
    <xf numFmtId="0" fontId="4" fillId="15" borderId="3" xfId="0" applyFont="1" applyFill="1" applyBorder="1" applyAlignment="1">
      <alignment wrapText="1"/>
    </xf>
    <xf numFmtId="0" fontId="12" fillId="15" borderId="3" xfId="0" applyFont="1" applyFill="1" applyBorder="1" applyAlignment="1">
      <alignment wrapText="1"/>
    </xf>
    <xf numFmtId="0" fontId="4" fillId="15" borderId="3" xfId="0" applyFont="1" applyFill="1" applyBorder="1"/>
    <xf numFmtId="0" fontId="3" fillId="0" borderId="14" xfId="0" applyFont="1" applyBorder="1" applyAlignment="1">
      <alignment wrapText="1"/>
    </xf>
    <xf numFmtId="0" fontId="3" fillId="0" borderId="4" xfId="0" applyFont="1" applyBorder="1" applyAlignment="1">
      <alignment wrapText="1"/>
    </xf>
    <xf numFmtId="49" fontId="10" fillId="0" borderId="23" xfId="0" applyNumberFormat="1" applyFont="1" applyBorder="1"/>
    <xf numFmtId="0" fontId="13" fillId="0" borderId="23" xfId="0" applyFont="1" applyBorder="1"/>
    <xf numFmtId="49" fontId="10" fillId="0" borderId="24" xfId="0" applyNumberFormat="1" applyFont="1" applyBorder="1"/>
    <xf numFmtId="0" fontId="13" fillId="0" borderId="24" xfId="0" applyFont="1" applyBorder="1"/>
    <xf numFmtId="49" fontId="8" fillId="0" borderId="24" xfId="0" applyNumberFormat="1" applyFont="1" applyBorder="1"/>
    <xf numFmtId="0" fontId="6" fillId="10" borderId="0" xfId="0" applyFont="1" applyFill="1" applyAlignment="1">
      <alignment horizontal="left"/>
    </xf>
    <xf numFmtId="0" fontId="15" fillId="0" borderId="1" xfId="0" applyFont="1" applyBorder="1"/>
    <xf numFmtId="0" fontId="14" fillId="0" borderId="24" xfId="0" applyFont="1" applyBorder="1"/>
    <xf numFmtId="0" fontId="13" fillId="0" borderId="0" xfId="0" applyFont="1"/>
    <xf numFmtId="0" fontId="4" fillId="7" borderId="1" xfId="0" applyFont="1" applyFill="1" applyBorder="1"/>
    <xf numFmtId="0" fontId="4" fillId="8" borderId="3" xfId="0" applyFont="1" applyFill="1" applyBorder="1" applyAlignment="1">
      <alignment wrapText="1"/>
    </xf>
    <xf numFmtId="49" fontId="4" fillId="7" borderId="3" xfId="0" applyNumberFormat="1" applyFont="1" applyFill="1" applyBorder="1"/>
    <xf numFmtId="0" fontId="4" fillId="7" borderId="3" xfId="0" applyFont="1" applyFill="1" applyBorder="1"/>
    <xf numFmtId="0" fontId="4" fillId="7" borderId="3" xfId="0" quotePrefix="1" applyFont="1" applyFill="1" applyBorder="1" applyAlignment="1">
      <alignment wrapText="1"/>
    </xf>
    <xf numFmtId="0" fontId="4" fillId="7" borderId="16" xfId="0" applyFont="1" applyFill="1" applyBorder="1"/>
    <xf numFmtId="0" fontId="4" fillId="7" borderId="11" xfId="0" quotePrefix="1" applyFont="1" applyFill="1" applyBorder="1" applyAlignment="1">
      <alignment wrapText="1"/>
    </xf>
    <xf numFmtId="0" fontId="4" fillId="13" borderId="10" xfId="0" applyFont="1" applyFill="1" applyBorder="1"/>
    <xf numFmtId="0" fontId="4" fillId="14" borderId="11" xfId="0" applyFont="1" applyFill="1" applyBorder="1" applyAlignment="1">
      <alignment wrapText="1"/>
    </xf>
    <xf numFmtId="49" fontId="4" fillId="14" borderId="11" xfId="0" applyNumberFormat="1" applyFont="1" applyFill="1" applyBorder="1"/>
    <xf numFmtId="49" fontId="4" fillId="14" borderId="11" xfId="0" applyNumberFormat="1" applyFont="1" applyFill="1" applyBorder="1" applyAlignment="1">
      <alignment wrapText="1"/>
    </xf>
    <xf numFmtId="0" fontId="4" fillId="13" borderId="11" xfId="0" applyFont="1" applyFill="1" applyBorder="1"/>
    <xf numFmtId="0" fontId="4" fillId="14" borderId="11" xfId="0" applyFont="1" applyFill="1" applyBorder="1"/>
    <xf numFmtId="0" fontId="4" fillId="13" borderId="16" xfId="0" applyFont="1" applyFill="1" applyBorder="1" applyAlignment="1">
      <alignment horizontal="right"/>
    </xf>
    <xf numFmtId="0" fontId="4" fillId="8" borderId="11" xfId="0" applyFont="1" applyFill="1" applyBorder="1"/>
    <xf numFmtId="0" fontId="4" fillId="17" borderId="10" xfId="0" applyFont="1" applyFill="1" applyBorder="1"/>
    <xf numFmtId="0" fontId="4" fillId="18" borderId="11" xfId="0" applyFont="1" applyFill="1" applyBorder="1" applyAlignment="1">
      <alignment wrapText="1"/>
    </xf>
    <xf numFmtId="49" fontId="4" fillId="18" borderId="11" xfId="0" applyNumberFormat="1" applyFont="1" applyFill="1" applyBorder="1"/>
    <xf numFmtId="49" fontId="4" fillId="18" borderId="11" xfId="0" applyNumberFormat="1" applyFont="1" applyFill="1" applyBorder="1" applyAlignment="1">
      <alignment wrapText="1"/>
    </xf>
    <xf numFmtId="0" fontId="4" fillId="17" borderId="11" xfId="0" applyFont="1" applyFill="1" applyBorder="1"/>
    <xf numFmtId="0" fontId="4" fillId="17" borderId="16" xfId="0" applyFont="1" applyFill="1" applyBorder="1"/>
    <xf numFmtId="49" fontId="8" fillId="19" borderId="0" xfId="0" applyNumberFormat="1" applyFont="1" applyFill="1"/>
    <xf numFmtId="0" fontId="3" fillId="20" borderId="0" xfId="0" applyFont="1" applyFill="1" applyAlignment="1">
      <alignment horizontal="left"/>
    </xf>
    <xf numFmtId="49" fontId="10" fillId="19" borderId="0" xfId="0" applyNumberFormat="1" applyFont="1" applyFill="1"/>
    <xf numFmtId="49" fontId="16" fillId="19" borderId="0" xfId="0" applyNumberFormat="1" applyFont="1" applyFill="1"/>
    <xf numFmtId="0" fontId="3" fillId="0" borderId="14" xfId="0" quotePrefix="1" applyFont="1" applyBorder="1" applyAlignment="1">
      <alignment wrapText="1"/>
    </xf>
    <xf numFmtId="0" fontId="17" fillId="21" borderId="0" xfId="0" applyFont="1" applyFill="1" applyAlignment="1">
      <alignment horizontal="left"/>
    </xf>
    <xf numFmtId="49" fontId="18" fillId="0" borderId="0" xfId="0" applyNumberFormat="1" applyFont="1"/>
    <xf numFmtId="49" fontId="19" fillId="0" borderId="0" xfId="0" applyNumberFormat="1" applyFont="1" applyAlignment="1">
      <alignment horizontal="center"/>
    </xf>
    <xf numFmtId="0" fontId="18" fillId="0" borderId="0" xfId="0" applyFont="1"/>
    <xf numFmtId="49" fontId="3" fillId="0" borderId="0" xfId="0" applyNumberFormat="1" applyFont="1"/>
    <xf numFmtId="49" fontId="20" fillId="0" borderId="0" xfId="0" applyNumberFormat="1" applyFont="1"/>
    <xf numFmtId="0" fontId="3" fillId="0" borderId="14" xfId="0" applyFont="1" applyBorder="1"/>
    <xf numFmtId="49" fontId="7" fillId="0" borderId="0" xfId="0" applyNumberFormat="1" applyFont="1" applyAlignment="1">
      <alignment vertical="top"/>
    </xf>
    <xf numFmtId="49" fontId="7" fillId="0" borderId="25" xfId="0" applyNumberFormat="1" applyFont="1" applyBorder="1" applyAlignment="1">
      <alignment vertical="top"/>
    </xf>
    <xf numFmtId="0" fontId="4" fillId="15" borderId="1" xfId="0" applyFont="1" applyFill="1" applyBorder="1" applyAlignment="1">
      <alignment wrapText="1"/>
    </xf>
    <xf numFmtId="0" fontId="4" fillId="12" borderId="1" xfId="0" applyFont="1" applyFill="1" applyBorder="1"/>
    <xf numFmtId="0" fontId="4" fillId="11" borderId="3" xfId="0" applyFont="1" applyFill="1" applyBorder="1" applyAlignment="1">
      <alignment wrapText="1"/>
    </xf>
    <xf numFmtId="49" fontId="4" fillId="11" borderId="3" xfId="0" applyNumberFormat="1" applyFont="1" applyFill="1" applyBorder="1"/>
    <xf numFmtId="0" fontId="4" fillId="11" borderId="11" xfId="0" applyFont="1" applyFill="1" applyBorder="1"/>
    <xf numFmtId="0" fontId="4" fillId="11" borderId="3" xfId="0" applyFont="1" applyFill="1" applyBorder="1"/>
    <xf numFmtId="0" fontId="4" fillId="12" borderId="3" xfId="0" applyFont="1" applyFill="1" applyBorder="1"/>
    <xf numFmtId="49" fontId="16" fillId="0" borderId="0" xfId="0" applyNumberFormat="1" applyFont="1"/>
    <xf numFmtId="0" fontId="7" fillId="0" borderId="0" xfId="0" applyFont="1"/>
    <xf numFmtId="0" fontId="10" fillId="0" borderId="0" xfId="0" applyFont="1"/>
    <xf numFmtId="0" fontId="4" fillId="5" borderId="19" xfId="0" applyFont="1" applyFill="1" applyBorder="1"/>
    <xf numFmtId="49" fontId="4" fillId="14" borderId="19" xfId="0" applyNumberFormat="1" applyFont="1" applyFill="1" applyBorder="1"/>
    <xf numFmtId="0" fontId="4" fillId="17" borderId="12" xfId="0" applyFont="1" applyFill="1" applyBorder="1"/>
    <xf numFmtId="0" fontId="4" fillId="18" borderId="12" xfId="0" applyFont="1" applyFill="1" applyBorder="1"/>
    <xf numFmtId="0" fontId="3" fillId="0" borderId="12" xfId="0" applyFont="1" applyBorder="1" applyAlignment="1">
      <alignment wrapText="1"/>
    </xf>
    <xf numFmtId="0" fontId="15" fillId="0" borderId="12" xfId="0" applyFont="1" applyBorder="1"/>
    <xf numFmtId="0" fontId="15" fillId="0" borderId="3" xfId="0" applyFont="1" applyBorder="1"/>
    <xf numFmtId="49" fontId="4" fillId="11" borderId="3" xfId="0" applyNumberFormat="1" applyFont="1" applyFill="1" applyBorder="1" applyAlignment="1">
      <alignment wrapText="1"/>
    </xf>
    <xf numFmtId="49" fontId="5" fillId="0" borderId="0" xfId="0" applyNumberFormat="1" applyFont="1"/>
    <xf numFmtId="49" fontId="4" fillId="7" borderId="12" xfId="0" applyNumberFormat="1" applyFont="1" applyFill="1" applyBorder="1" applyAlignment="1">
      <alignment wrapText="1"/>
    </xf>
    <xf numFmtId="0" fontId="4" fillId="17" borderId="0" xfId="0" applyFont="1" applyFill="1"/>
    <xf numFmtId="0" fontId="4" fillId="18" borderId="0" xfId="0" applyFont="1" applyFill="1"/>
    <xf numFmtId="49" fontId="4" fillId="18" borderId="0" xfId="0" applyNumberFormat="1" applyFont="1" applyFill="1"/>
    <xf numFmtId="49" fontId="4" fillId="18" borderId="0" xfId="0" applyNumberFormat="1" applyFont="1" applyFill="1" applyAlignment="1">
      <alignment wrapText="1"/>
    </xf>
    <xf numFmtId="49" fontId="4" fillId="18" borderId="12" xfId="0" applyNumberFormat="1" applyFont="1" applyFill="1" applyBorder="1" applyAlignment="1">
      <alignment wrapText="1"/>
    </xf>
    <xf numFmtId="49" fontId="3" fillId="22" borderId="0" xfId="0" applyNumberFormat="1" applyFont="1" applyFill="1" applyAlignment="1">
      <alignment horizontal="left"/>
    </xf>
    <xf numFmtId="49" fontId="4" fillId="16" borderId="3" xfId="0" applyNumberFormat="1" applyFont="1" applyFill="1" applyBorder="1" applyAlignment="1">
      <alignment wrapText="1"/>
    </xf>
    <xf numFmtId="49" fontId="5" fillId="0" borderId="23" xfId="0" applyNumberFormat="1" applyFont="1" applyBorder="1"/>
    <xf numFmtId="49" fontId="21" fillId="0" borderId="24" xfId="0" applyNumberFormat="1" applyFont="1" applyBorder="1"/>
    <xf numFmtId="49" fontId="5" fillId="0" borderId="24" xfId="0" applyNumberFormat="1" applyFont="1" applyBorder="1"/>
    <xf numFmtId="49" fontId="17" fillId="0" borderId="24" xfId="0" applyNumberFormat="1" applyFont="1" applyBorder="1"/>
    <xf numFmtId="49" fontId="16" fillId="0" borderId="24" xfId="0" applyNumberFormat="1" applyFont="1" applyBorder="1"/>
    <xf numFmtId="49" fontId="22" fillId="0" borderId="0" xfId="0" applyNumberFormat="1" applyFont="1"/>
    <xf numFmtId="0" fontId="23" fillId="20" borderId="0" xfId="0" applyFont="1" applyFill="1"/>
    <xf numFmtId="0" fontId="16" fillId="0" borderId="0" xfId="0" applyFont="1"/>
    <xf numFmtId="0" fontId="24" fillId="20" borderId="0" xfId="0" applyFont="1" applyFill="1" applyAlignment="1">
      <alignment horizontal="left"/>
    </xf>
    <xf numFmtId="0" fontId="5" fillId="0" borderId="0" xfId="0" applyFont="1"/>
    <xf numFmtId="0" fontId="3" fillId="6" borderId="0" xfId="0" applyFont="1" applyFill="1" applyAlignment="1">
      <alignment horizontal="left"/>
    </xf>
    <xf numFmtId="49" fontId="25" fillId="0" borderId="23" xfId="0" applyNumberFormat="1" applyFont="1" applyBorder="1"/>
    <xf numFmtId="49" fontId="25" fillId="0" borderId="24" xfId="0" applyNumberFormat="1" applyFont="1" applyBorder="1"/>
    <xf numFmtId="49" fontId="26" fillId="0" borderId="24" xfId="0" applyNumberFormat="1" applyFont="1" applyBorder="1"/>
    <xf numFmtId="49" fontId="7" fillId="0" borderId="24" xfId="0" applyNumberFormat="1" applyFont="1" applyBorder="1"/>
    <xf numFmtId="49" fontId="17" fillId="0" borderId="23" xfId="0" applyNumberFormat="1" applyFont="1" applyBorder="1"/>
    <xf numFmtId="49" fontId="27" fillId="0" borderId="0" xfId="0" applyNumberFormat="1" applyFont="1"/>
    <xf numFmtId="0" fontId="28" fillId="0" borderId="0" xfId="0" applyFont="1"/>
    <xf numFmtId="49" fontId="3" fillId="0" borderId="0" xfId="0" applyNumberFormat="1" applyFont="1" applyAlignment="1">
      <alignment wrapText="1"/>
    </xf>
    <xf numFmtId="0" fontId="4" fillId="8" borderId="6" xfId="0" applyFont="1" applyFill="1" applyBorder="1"/>
    <xf numFmtId="0" fontId="29" fillId="0" borderId="1" xfId="0" applyFont="1" applyBorder="1"/>
    <xf numFmtId="0" fontId="1" fillId="2" borderId="26" xfId="0" applyFont="1" applyFill="1" applyBorder="1"/>
    <xf numFmtId="49" fontId="1" fillId="2" borderId="26" xfId="0" applyNumberFormat="1" applyFont="1" applyFill="1" applyBorder="1" applyAlignment="1">
      <alignment wrapText="1"/>
    </xf>
    <xf numFmtId="0" fontId="1" fillId="2" borderId="0" xfId="0" applyFont="1" applyFill="1"/>
    <xf numFmtId="0" fontId="3" fillId="0" borderId="26" xfId="0" applyFont="1" applyBorder="1"/>
    <xf numFmtId="0" fontId="9" fillId="0" borderId="0" xfId="0" applyFont="1"/>
    <xf numFmtId="0" fontId="4" fillId="0" borderId="26" xfId="0" applyFont="1" applyBorder="1"/>
    <xf numFmtId="0" fontId="4" fillId="0" borderId="27" xfId="0" applyFont="1" applyBorder="1" applyAlignment="1">
      <alignment horizontal="right"/>
    </xf>
    <xf numFmtId="0" fontId="4" fillId="0" borderId="27" xfId="0" applyFont="1" applyBorder="1"/>
    <xf numFmtId="0" fontId="9" fillId="0" borderId="28" xfId="0" applyFont="1" applyBorder="1"/>
    <xf numFmtId="0" fontId="4" fillId="0" borderId="29" xfId="0" applyFont="1" applyBorder="1"/>
    <xf numFmtId="0" fontId="4" fillId="0" borderId="30" xfId="0" applyFont="1" applyBorder="1" applyAlignment="1">
      <alignment horizontal="right"/>
    </xf>
    <xf numFmtId="0" fontId="4" fillId="0" borderId="30" xfId="0" applyFont="1" applyBorder="1"/>
    <xf numFmtId="0" fontId="9" fillId="0" borderId="31" xfId="0" applyFont="1" applyBorder="1"/>
    <xf numFmtId="0" fontId="4" fillId="0" borderId="32" xfId="0" applyFont="1" applyBorder="1"/>
    <xf numFmtId="0" fontId="5" fillId="0" borderId="32" xfId="0" applyFont="1" applyBorder="1"/>
    <xf numFmtId="0" fontId="4" fillId="0" borderId="33" xfId="0" applyFont="1" applyBorder="1"/>
    <xf numFmtId="0" fontId="4" fillId="0" borderId="31" xfId="0" applyFont="1" applyBorder="1"/>
    <xf numFmtId="0" fontId="4" fillId="0" borderId="34" xfId="0" applyFont="1" applyBorder="1"/>
    <xf numFmtId="0" fontId="4" fillId="0" borderId="35" xfId="0" applyFont="1" applyBorder="1"/>
    <xf numFmtId="0" fontId="4" fillId="0" borderId="36" xfId="0" applyFont="1" applyBorder="1"/>
    <xf numFmtId="0" fontId="3" fillId="0" borderId="33" xfId="0" applyFont="1" applyBorder="1"/>
    <xf numFmtId="0" fontId="3" fillId="0" borderId="31" xfId="0" applyFont="1" applyBorder="1"/>
    <xf numFmtId="49" fontId="3" fillId="0" borderId="15" xfId="0" applyNumberFormat="1" applyFont="1" applyBorder="1"/>
    <xf numFmtId="0" fontId="10" fillId="0" borderId="23" xfId="0" applyFont="1" applyBorder="1"/>
    <xf numFmtId="0" fontId="10" fillId="0" borderId="24" xfId="0" applyFont="1" applyBorder="1"/>
    <xf numFmtId="0" fontId="10" fillId="0" borderId="37" xfId="0" applyFont="1" applyBorder="1"/>
    <xf numFmtId="0" fontId="7" fillId="0" borderId="0" xfId="0" applyFont="1" applyAlignment="1">
      <alignment vertical="top"/>
    </xf>
    <xf numFmtId="0" fontId="7" fillId="0" borderId="25" xfId="0" applyFont="1" applyBorder="1" applyAlignment="1">
      <alignment vertical="top"/>
    </xf>
    <xf numFmtId="0" fontId="10" fillId="19" borderId="24" xfId="0" applyFont="1" applyFill="1" applyBorder="1"/>
    <xf numFmtId="0" fontId="17" fillId="0" borderId="0" xfId="0" applyFont="1" applyAlignment="1">
      <alignment horizontal="left" vertical="center"/>
    </xf>
    <xf numFmtId="0" fontId="30" fillId="0" borderId="0" xfId="0" applyFont="1"/>
    <xf numFmtId="0" fontId="4" fillId="0" borderId="0" xfId="0" applyFont="1" applyAlignment="1">
      <alignment horizontal="right"/>
    </xf>
    <xf numFmtId="0" fontId="31" fillId="0" borderId="0" xfId="0" applyFont="1" applyAlignment="1">
      <alignment horizontal="right"/>
    </xf>
    <xf numFmtId="0" fontId="31" fillId="0" borderId="0" xfId="0" applyFont="1"/>
    <xf numFmtId="0" fontId="32" fillId="0" borderId="0" xfId="0" applyFont="1" applyAlignment="1">
      <alignment horizontal="right"/>
    </xf>
    <xf numFmtId="0" fontId="32" fillId="0" borderId="0" xfId="0" applyFont="1"/>
    <xf numFmtId="0" fontId="33" fillId="0" borderId="0" xfId="0" applyFont="1"/>
    <xf numFmtId="0" fontId="16" fillId="0" borderId="23" xfId="0" applyFont="1" applyBorder="1"/>
    <xf numFmtId="0" fontId="16" fillId="0" borderId="24" xfId="0" applyFont="1" applyBorder="1"/>
    <xf numFmtId="0" fontId="25" fillId="0" borderId="24" xfId="0" applyFont="1" applyBorder="1"/>
    <xf numFmtId="0" fontId="19" fillId="0" borderId="0" xfId="0" applyFont="1"/>
    <xf numFmtId="0" fontId="2" fillId="2" borderId="26" xfId="0" applyFont="1" applyFill="1" applyBorder="1" applyAlignment="1">
      <alignment wrapText="1"/>
    </xf>
    <xf numFmtId="0" fontId="1" fillId="2" borderId="2" xfId="0" applyFont="1" applyFill="1" applyBorder="1" applyAlignment="1">
      <alignment wrapText="1"/>
    </xf>
    <xf numFmtId="0" fontId="34" fillId="0" borderId="26" xfId="0" applyFont="1" applyBorder="1"/>
    <xf numFmtId="0" fontId="1" fillId="2" borderId="44" xfId="0" applyFont="1" applyFill="1" applyBorder="1"/>
    <xf numFmtId="0" fontId="1" fillId="2" borderId="44" xfId="0" applyFont="1" applyFill="1" applyBorder="1" applyAlignment="1">
      <alignment wrapText="1"/>
    </xf>
    <xf numFmtId="0" fontId="2" fillId="2" borderId="44" xfId="0" applyFont="1" applyFill="1" applyBorder="1" applyAlignment="1">
      <alignment wrapText="1"/>
    </xf>
    <xf numFmtId="0" fontId="3" fillId="23" borderId="23" xfId="0" applyFont="1" applyFill="1" applyBorder="1" applyAlignment="1">
      <alignment horizontal="left" vertical="top" wrapText="1"/>
    </xf>
    <xf numFmtId="0" fontId="3" fillId="23" borderId="2" xfId="0" applyFont="1" applyFill="1" applyBorder="1" applyAlignment="1">
      <alignment vertical="top" wrapText="1"/>
    </xf>
    <xf numFmtId="0" fontId="3" fillId="23" borderId="2" xfId="0" applyFont="1" applyFill="1" applyBorder="1" applyAlignment="1">
      <alignment horizontal="left" vertical="top" wrapText="1"/>
    </xf>
    <xf numFmtId="0" fontId="3" fillId="23" borderId="23" xfId="0" applyFont="1" applyFill="1" applyBorder="1" applyAlignment="1">
      <alignment vertical="top"/>
    </xf>
    <xf numFmtId="0" fontId="3" fillId="23" borderId="23" xfId="0" applyFont="1" applyFill="1" applyBorder="1" applyAlignment="1">
      <alignment vertical="top" wrapText="1"/>
    </xf>
    <xf numFmtId="0" fontId="38" fillId="23" borderId="23" xfId="0" applyFont="1" applyFill="1" applyBorder="1" applyAlignment="1">
      <alignment vertical="top"/>
    </xf>
    <xf numFmtId="0" fontId="39" fillId="23" borderId="23" xfId="0" applyFont="1" applyFill="1" applyBorder="1" applyAlignment="1">
      <alignment vertical="top" wrapText="1"/>
    </xf>
    <xf numFmtId="49" fontId="40" fillId="23" borderId="23" xfId="0" applyNumberFormat="1" applyFont="1" applyFill="1" applyBorder="1" applyAlignment="1">
      <alignment vertical="top" wrapText="1"/>
    </xf>
    <xf numFmtId="0" fontId="3" fillId="24" borderId="1" xfId="0" applyFont="1" applyFill="1" applyBorder="1" applyAlignment="1">
      <alignment wrapText="1"/>
    </xf>
    <xf numFmtId="0" fontId="3" fillId="24" borderId="1" xfId="0" applyFont="1" applyFill="1" applyBorder="1"/>
    <xf numFmtId="0" fontId="3" fillId="24" borderId="2" xfId="0" applyFont="1" applyFill="1" applyBorder="1"/>
    <xf numFmtId="0" fontId="42" fillId="24" borderId="1" xfId="0" applyFont="1" applyFill="1" applyBorder="1" applyAlignment="1">
      <alignment horizontal="left" vertical="top"/>
    </xf>
    <xf numFmtId="0" fontId="3" fillId="24" borderId="1" xfId="0" applyFont="1" applyFill="1" applyBorder="1" applyAlignment="1">
      <alignment horizontal="left" vertical="top"/>
    </xf>
    <xf numFmtId="0" fontId="3" fillId="24" borderId="1" xfId="0" applyFont="1" applyFill="1" applyBorder="1" applyAlignment="1">
      <alignment horizontal="left" vertical="top" wrapText="1"/>
    </xf>
    <xf numFmtId="0" fontId="3" fillId="24" borderId="46" xfId="0" applyFont="1" applyFill="1" applyBorder="1" applyAlignment="1">
      <alignment horizontal="left" vertical="top" wrapText="1"/>
    </xf>
    <xf numFmtId="0" fontId="43" fillId="24" borderId="2" xfId="0" applyFont="1" applyFill="1" applyBorder="1"/>
    <xf numFmtId="0" fontId="3" fillId="24" borderId="1" xfId="0" applyFont="1" applyFill="1" applyBorder="1" applyAlignment="1">
      <alignment horizontal="center" vertical="top"/>
    </xf>
    <xf numFmtId="0" fontId="3" fillId="6" borderId="23" xfId="0" applyFont="1" applyFill="1" applyBorder="1" applyAlignment="1">
      <alignment wrapText="1"/>
    </xf>
    <xf numFmtId="0" fontId="3" fillId="6" borderId="23" xfId="0" applyFont="1" applyFill="1" applyBorder="1"/>
    <xf numFmtId="0" fontId="46" fillId="6" borderId="1" xfId="0" applyFont="1" applyFill="1" applyBorder="1" applyAlignment="1">
      <alignment horizontal="center"/>
    </xf>
    <xf numFmtId="0" fontId="47" fillId="6" borderId="1" xfId="0" applyFont="1" applyFill="1" applyBorder="1" applyAlignment="1">
      <alignment horizontal="center"/>
    </xf>
    <xf numFmtId="16" fontId="47" fillId="6" borderId="1" xfId="0" applyNumberFormat="1" applyFont="1" applyFill="1" applyBorder="1" applyAlignment="1">
      <alignment horizontal="center"/>
    </xf>
    <xf numFmtId="0" fontId="3" fillId="6" borderId="1" xfId="0" applyFont="1" applyFill="1" applyBorder="1"/>
    <xf numFmtId="0" fontId="3" fillId="6" borderId="1" xfId="0" applyFont="1" applyFill="1" applyBorder="1" applyAlignment="1">
      <alignment wrapText="1"/>
    </xf>
    <xf numFmtId="0" fontId="47" fillId="6" borderId="1" xfId="0" applyFont="1" applyFill="1" applyBorder="1" applyAlignment="1">
      <alignment horizontal="center" wrapText="1"/>
    </xf>
    <xf numFmtId="0" fontId="47"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horizontal="center" wrapText="1"/>
    </xf>
    <xf numFmtId="0" fontId="3" fillId="6" borderId="49" xfId="0" applyFont="1" applyFill="1" applyBorder="1"/>
    <xf numFmtId="0" fontId="3" fillId="6" borderId="49" xfId="0" applyFont="1" applyFill="1" applyBorder="1" applyAlignment="1">
      <alignment horizontal="center" wrapText="1"/>
    </xf>
    <xf numFmtId="0" fontId="3" fillId="0" borderId="0" xfId="0" applyFont="1" applyAlignment="1">
      <alignment horizontal="center" wrapText="1"/>
    </xf>
    <xf numFmtId="0" fontId="48" fillId="23" borderId="50" xfId="0" applyFont="1" applyFill="1" applyBorder="1" applyAlignment="1">
      <alignment horizontal="left" vertical="center" wrapText="1"/>
    </xf>
    <xf numFmtId="0" fontId="49" fillId="23" borderId="51" xfId="0" applyFont="1" applyFill="1" applyBorder="1" applyAlignment="1">
      <alignment horizontal="left" vertical="center" wrapText="1"/>
    </xf>
    <xf numFmtId="0" fontId="1" fillId="2" borderId="26" xfId="0" applyFont="1" applyFill="1" applyBorder="1" applyAlignment="1">
      <alignment wrapText="1"/>
    </xf>
    <xf numFmtId="0" fontId="3" fillId="23" borderId="44" xfId="0" applyFont="1" applyFill="1" applyBorder="1" applyAlignment="1">
      <alignment horizontal="left" vertical="top" wrapText="1"/>
    </xf>
    <xf numFmtId="0" fontId="3" fillId="23" borderId="44" xfId="0" applyFont="1" applyFill="1" applyBorder="1" applyAlignment="1">
      <alignment vertical="top"/>
    </xf>
    <xf numFmtId="0" fontId="3" fillId="23" borderId="23" xfId="0" applyFont="1" applyFill="1" applyBorder="1" applyAlignment="1">
      <alignment horizontal="left" vertical="top"/>
    </xf>
    <xf numFmtId="0" fontId="51" fillId="23" borderId="23" xfId="0" applyFont="1" applyFill="1" applyBorder="1" applyAlignment="1">
      <alignment horizontal="left" vertical="top"/>
    </xf>
    <xf numFmtId="0" fontId="52" fillId="23" borderId="23" xfId="0" applyFont="1" applyFill="1" applyBorder="1" applyAlignment="1">
      <alignment horizontal="left" vertical="top" wrapText="1"/>
    </xf>
    <xf numFmtId="0" fontId="3" fillId="0" borderId="0" xfId="0" applyFont="1" applyAlignment="1">
      <alignment horizontal="left" vertical="center" wrapText="1"/>
    </xf>
    <xf numFmtId="0" fontId="1" fillId="2" borderId="23"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1" fillId="2" borderId="23" xfId="0" applyFont="1" applyFill="1" applyBorder="1"/>
    <xf numFmtId="0" fontId="1" fillId="2" borderId="23" xfId="0" applyFont="1" applyFill="1" applyBorder="1" applyAlignment="1">
      <alignment wrapText="1"/>
    </xf>
    <xf numFmtId="49" fontId="3" fillId="23" borderId="23" xfId="0" applyNumberFormat="1" applyFont="1" applyFill="1" applyBorder="1" applyAlignment="1">
      <alignment vertical="top" wrapText="1"/>
    </xf>
    <xf numFmtId="49" fontId="3" fillId="0" borderId="0" xfId="0" applyNumberFormat="1" applyFont="1" applyAlignment="1">
      <alignment horizontal="left" vertical="center" wrapText="1"/>
    </xf>
    <xf numFmtId="0" fontId="44" fillId="6" borderId="47" xfId="0" applyFont="1" applyFill="1" applyBorder="1" applyAlignment="1">
      <alignment horizontal="left"/>
    </xf>
    <xf numFmtId="0" fontId="36" fillId="0" borderId="48" xfId="0" applyFont="1" applyBorder="1"/>
    <xf numFmtId="0" fontId="45" fillId="6" borderId="47" xfId="0" applyFont="1" applyFill="1" applyBorder="1" applyAlignment="1">
      <alignment horizontal="left" vertical="top"/>
    </xf>
    <xf numFmtId="0" fontId="36" fillId="0" borderId="36" xfId="0" applyFont="1" applyBorder="1"/>
    <xf numFmtId="0" fontId="35" fillId="23" borderId="38" xfId="0" applyFont="1" applyFill="1" applyBorder="1" applyAlignment="1">
      <alignment horizontal="left" vertical="center" wrapText="1"/>
    </xf>
    <xf numFmtId="0" fontId="36" fillId="0" borderId="39" xfId="0" applyFont="1" applyBorder="1"/>
    <xf numFmtId="0" fontId="3" fillId="23" borderId="40" xfId="0" applyFont="1" applyFill="1" applyBorder="1" applyAlignment="1">
      <alignment horizontal="center" vertical="center" wrapText="1"/>
    </xf>
    <xf numFmtId="0" fontId="36" fillId="0" borderId="41" xfId="0" applyFont="1" applyBorder="1"/>
    <xf numFmtId="0" fontId="3" fillId="23" borderId="40" xfId="0" applyFont="1" applyFill="1" applyBorder="1" applyAlignment="1">
      <alignment horizontal="left" vertical="center" wrapText="1"/>
    </xf>
    <xf numFmtId="0" fontId="37" fillId="23" borderId="42" xfId="0" applyFont="1" applyFill="1" applyBorder="1" applyAlignment="1">
      <alignment horizontal="left" vertical="top" wrapText="1"/>
    </xf>
    <xf numFmtId="0" fontId="36" fillId="0" borderId="43" xfId="0" applyFont="1" applyBorder="1"/>
    <xf numFmtId="0" fontId="41" fillId="24" borderId="45" xfId="0" applyFont="1" applyFill="1" applyBorder="1" applyAlignment="1">
      <alignment horizontal="left"/>
    </xf>
    <xf numFmtId="0" fontId="36" fillId="0" borderId="3" xfId="0" applyFont="1" applyBorder="1"/>
    <xf numFmtId="0" fontId="50" fillId="23" borderId="40" xfId="0" applyFont="1" applyFill="1" applyBorder="1" applyAlignment="1">
      <alignment horizontal="left" vertical="top" wrapText="1"/>
    </xf>
    <xf numFmtId="0" fontId="53" fillId="23" borderId="52" xfId="0" applyFont="1" applyFill="1" applyBorder="1" applyAlignment="1">
      <alignment horizontal="left" vertical="center" wrapText="1"/>
    </xf>
    <xf numFmtId="0" fontId="36" fillId="0" borderId="53" xfId="0" applyFont="1" applyBorder="1"/>
    <xf numFmtId="0" fontId="3" fillId="23" borderId="54" xfId="0" applyFont="1" applyFill="1" applyBorder="1" applyAlignment="1">
      <alignment horizontal="center" vertical="center" wrapText="1"/>
    </xf>
    <xf numFmtId="0" fontId="36" fillId="0" borderId="55" xfId="0" applyFont="1" applyBorder="1"/>
    <xf numFmtId="0" fontId="3" fillId="23" borderId="56" xfId="0" applyFont="1" applyFill="1" applyBorder="1" applyAlignment="1">
      <alignment horizontal="left" vertical="center" wrapText="1"/>
    </xf>
    <xf numFmtId="0" fontId="36" fillId="0" borderId="57" xfId="0" applyFont="1" applyBorder="1"/>
  </cellXfs>
  <cellStyles count="1">
    <cellStyle name="Normal" xfId="0" builtinId="0"/>
  </cellStyles>
  <dxfs count="146">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F1DD"/>
          <bgColor rgb="FFEAF1DD"/>
        </patternFill>
      </fill>
    </dxf>
    <dxf>
      <fill>
        <patternFill patternType="solid">
          <fgColor rgb="FFFFBB57"/>
          <bgColor rgb="FFFFBB57"/>
        </patternFill>
      </fill>
    </dxf>
    <dxf>
      <fill>
        <patternFill patternType="solid">
          <fgColor rgb="FFFFD44B"/>
          <bgColor rgb="FFFFD44B"/>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E7D480"/>
          <bgColor rgb="FFE7D480"/>
        </patternFill>
      </fill>
    </dxf>
    <dxf>
      <fill>
        <patternFill patternType="solid">
          <fgColor rgb="FFDDE8C6"/>
          <bgColor rgb="FFDDE8C6"/>
        </patternFill>
      </fill>
    </dxf>
    <dxf>
      <fill>
        <patternFill patternType="solid">
          <fgColor rgb="FFE3E0CF"/>
          <bgColor rgb="FFE3E0CF"/>
        </patternFill>
      </fill>
    </dxf>
    <dxf>
      <fill>
        <patternFill patternType="solid">
          <fgColor rgb="FFBA005D"/>
          <bgColor rgb="FFBA005D"/>
        </patternFill>
      </fill>
    </dxf>
    <dxf>
      <fill>
        <patternFill patternType="solid">
          <fgColor rgb="FFFFBB57"/>
          <bgColor rgb="FFFFBB57"/>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D8D8D8"/>
          <bgColor rgb="FFD8D8D8"/>
        </patternFill>
      </fill>
    </dxf>
    <dxf>
      <fill>
        <patternFill patternType="solid">
          <fgColor rgb="FFFBFB00"/>
          <bgColor rgb="FFFBFB00"/>
        </patternFill>
      </fill>
    </dxf>
    <dxf>
      <fill>
        <patternFill patternType="solid">
          <fgColor rgb="FFFF6969"/>
          <bgColor rgb="FFFF6969"/>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0000"/>
          <bgColor rgb="FFFF0000"/>
        </patternFill>
      </fill>
    </dxf>
    <dxf>
      <fill>
        <patternFill patternType="solid">
          <fgColor rgb="FFF2F2F2"/>
          <bgColor rgb="FFF2F2F2"/>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C2D69B"/>
          <bgColor rgb="FFC2D69B"/>
        </patternFill>
      </fill>
    </dxf>
    <dxf>
      <fill>
        <patternFill patternType="solid">
          <fgColor rgb="FFDCC97A"/>
          <bgColor rgb="FFDCC97A"/>
        </patternFill>
      </fill>
    </dxf>
    <dxf>
      <fill>
        <patternFill patternType="solid">
          <fgColor rgb="FFD6E3BC"/>
          <bgColor rgb="FFD6E3BC"/>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FFD44B"/>
          <bgColor rgb="FFFFD44B"/>
        </patternFill>
      </fill>
    </dxf>
    <dxf>
      <fill>
        <patternFill patternType="solid">
          <fgColor rgb="FFBFBFBF"/>
          <bgColor rgb="FFBFBFBF"/>
        </patternFill>
      </fill>
    </dxf>
    <dxf>
      <fill>
        <patternFill patternType="solid">
          <fgColor rgb="FFFF6D9E"/>
          <bgColor rgb="FFFF6D9E"/>
        </patternFill>
      </fill>
    </dxf>
    <dxf>
      <fill>
        <patternFill patternType="solid">
          <fgColor theme="8"/>
          <bgColor theme="8"/>
        </patternFill>
      </fill>
    </dxf>
    <dxf>
      <fill>
        <patternFill patternType="solid">
          <fgColor rgb="FFBBBB59"/>
          <bgColor rgb="FFBBBB59"/>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EB74"/>
          <bgColor rgb="FFEAEB74"/>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92CDDC"/>
          <bgColor rgb="FF92CDDC"/>
        </patternFill>
      </fill>
    </dxf>
    <dxf>
      <fill>
        <patternFill patternType="solid">
          <fgColor rgb="FFFFBB57"/>
          <bgColor rgb="FFFFBB57"/>
        </patternFill>
      </fill>
    </dxf>
    <dxf>
      <fill>
        <patternFill patternType="none"/>
      </fill>
      <border>
        <top style="thin">
          <color rgb="FF000000"/>
        </top>
      </border>
    </dxf>
    <dxf>
      <fill>
        <patternFill patternType="solid">
          <fgColor rgb="FFFFC7CE"/>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theme="8"/>
          <bgColor theme="8"/>
        </patternFill>
      </fill>
    </dxf>
    <dxf>
      <fill>
        <patternFill patternType="solid">
          <fgColor rgb="FFBBBB59"/>
          <bgColor rgb="FFBBBB59"/>
        </patternFill>
      </fill>
    </dxf>
    <dxf>
      <fill>
        <patternFill patternType="solid">
          <fgColor rgb="FFF2DBDA"/>
          <bgColor rgb="FFF2DBDA"/>
        </patternFill>
      </fill>
    </dxf>
    <dxf>
      <fill>
        <patternFill patternType="solid">
          <fgColor rgb="FFCCC0D9"/>
          <bgColor rgb="FFCCC0D9"/>
        </patternFill>
      </fill>
    </dxf>
    <dxf>
      <fill>
        <patternFill patternType="solid">
          <fgColor rgb="FFFF6969"/>
          <bgColor rgb="FFFF6969"/>
        </patternFill>
      </fill>
    </dxf>
    <dxf>
      <fill>
        <patternFill patternType="solid">
          <fgColor rgb="FFEAF1DD"/>
          <bgColor rgb="FFEAF1DD"/>
        </patternFill>
      </fill>
    </dxf>
    <dxf>
      <fill>
        <patternFill patternType="solid">
          <fgColor rgb="FFFBD4B4"/>
          <bgColor rgb="FFFBD4B4"/>
        </patternFill>
      </fill>
    </dxf>
    <dxf>
      <fill>
        <patternFill patternType="solid">
          <fgColor rgb="FF92CDDC"/>
          <bgColor rgb="FF92CDDC"/>
        </patternFill>
      </fill>
    </dxf>
    <dxf>
      <fill>
        <patternFill patternType="solid">
          <fgColor rgb="FFFFD44B"/>
          <bgColor rgb="FFFFD44B"/>
        </patternFill>
      </fill>
    </dxf>
    <dxf>
      <fill>
        <patternFill patternType="solid">
          <fgColor rgb="FFFBD4B4"/>
          <bgColor rgb="FFFBD4B4"/>
        </patternFill>
      </fill>
    </dxf>
    <dxf>
      <fill>
        <patternFill patternType="solid">
          <fgColor rgb="FFFFD44B"/>
          <bgColor rgb="FFFFD44B"/>
        </patternFill>
      </fill>
    </dxf>
    <dxf>
      <fill>
        <patternFill patternType="solid">
          <fgColor rgb="FFF2DBDA"/>
          <bgColor rgb="FFF2DBDA"/>
        </patternFill>
      </fill>
    </dxf>
    <dxf>
      <fill>
        <patternFill patternType="solid">
          <fgColor rgb="FFFF6969"/>
          <bgColor rgb="FFFF6969"/>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theme="8"/>
          <bgColor theme="8"/>
        </patternFill>
      </fill>
    </dxf>
    <dxf>
      <fill>
        <patternFill patternType="solid">
          <fgColor rgb="FFEEB400"/>
          <bgColor rgb="FFEEB400"/>
        </patternFill>
      </fill>
    </dxf>
    <dxf>
      <fill>
        <patternFill patternType="solid">
          <fgColor rgb="FFEEB400"/>
          <bgColor rgb="FFEEB400"/>
        </patternFill>
      </fill>
    </dxf>
    <dxf>
      <fill>
        <patternFill patternType="solid">
          <fgColor rgb="FF99BCE7"/>
          <bgColor rgb="FF99BCE7"/>
        </patternFill>
      </fill>
    </dxf>
    <dxf>
      <fill>
        <patternFill patternType="solid">
          <fgColor rgb="FFDBE5F1"/>
          <bgColor rgb="FFDBE5F1"/>
        </patternFill>
      </fill>
    </dxf>
    <dxf>
      <fill>
        <patternFill patternType="solid">
          <fgColor rgb="FF92CDDC"/>
          <bgColor rgb="FF92CDDC"/>
        </patternFill>
      </fill>
    </dxf>
    <dxf>
      <fill>
        <patternFill patternType="solid">
          <fgColor rgb="FFFFBB57"/>
          <bgColor rgb="FFFFBB57"/>
        </patternFill>
      </fill>
    </dxf>
    <dxf>
      <fill>
        <patternFill patternType="solid">
          <fgColor rgb="FFEAEB74"/>
          <bgColor rgb="FFEAEB74"/>
        </patternFill>
      </fill>
    </dxf>
    <dxf>
      <fill>
        <patternFill patternType="solid">
          <fgColor rgb="FFCCC0D9"/>
          <bgColor rgb="FFCCC0D9"/>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BA005D"/>
          <bgColor rgb="FFBA005D"/>
        </patternFill>
      </fill>
    </dxf>
    <dxf>
      <fill>
        <patternFill patternType="solid">
          <fgColor rgb="FFEAF1DD"/>
          <bgColor rgb="FFEAF1DD"/>
        </patternFill>
      </fill>
    </dxf>
    <dxf>
      <fill>
        <patternFill patternType="solid">
          <fgColor rgb="FFD8D8D8"/>
          <bgColor rgb="FFD8D8D8"/>
        </patternFill>
      </fill>
    </dxf>
    <dxf>
      <fill>
        <patternFill patternType="solid">
          <fgColor rgb="FFFBFB00"/>
          <bgColor rgb="FFFBFB00"/>
        </patternFill>
      </fill>
    </dxf>
    <dxf>
      <fill>
        <patternFill patternType="solid">
          <fgColor rgb="FFFFC7CE"/>
          <bgColor rgb="FFFFC7CE"/>
        </patternFill>
      </fill>
    </dxf>
    <dxf>
      <fill>
        <patternFill patternType="solid">
          <fgColor rgb="FFBBBB59"/>
          <bgColor rgb="FFBBBB5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3" Type="http://schemas.openxmlformats.org/officeDocument/2006/relationships/hyperlink" Target="https://docs.surveycto.com/02-designing-forms/04-sample-forms/04.images.html" TargetMode="External"/><Relationship Id="rId18" Type="http://schemas.openxmlformats.org/officeDocument/2006/relationships/hyperlink" Target="https://docs.surveycto.com/02-designing-forms/02-additional-topics/07.translating.html" TargetMode="External"/><Relationship Id="rId26" Type="http://schemas.openxmlformats.org/officeDocument/2006/relationships/hyperlink" Target="https://docs.surveycto.com/02-designing-forms/01-core-concepts/03zh.field-types-enumerator.html" TargetMode="External"/><Relationship Id="rId39" Type="http://schemas.openxmlformats.org/officeDocument/2006/relationships/hyperlink" Target="https://docs.surveycto.com/02-designing-forms/01-core-concepts/03r.field-types-end.html" TargetMode="External"/><Relationship Id="rId21" Type="http://schemas.openxmlformats.org/officeDocument/2006/relationships/hyperlink" Target="https://docs.surveycto.com/02-designing-forms/02-additional-topics/04.printable-copies.html" TargetMode="External"/><Relationship Id="rId34" Type="http://schemas.openxmlformats.org/officeDocument/2006/relationships/hyperlink" Target="https://docs.surveycto.com/02-designing-forms/01-core-concepts/03n.field-types-audio.html" TargetMode="External"/><Relationship Id="rId42" Type="http://schemas.openxmlformats.org/officeDocument/2006/relationships/hyperlink" Target="https://docs.surveycto.com/02-designing-forms/01-core-concepts/03v.field-types-simserial.html" TargetMode="External"/><Relationship Id="rId47" Type="http://schemas.openxmlformats.org/officeDocument/2006/relationships/hyperlink" Target="https://docs.surveycto.com/02-designing-forms/01-core-concepts/06.groups.html" TargetMode="External"/><Relationship Id="rId50" Type="http://schemas.openxmlformats.org/officeDocument/2006/relationships/hyperlink" Target="https://docs.surveycto.com/02-designing-forms/01-core-concepts/03zg.field-types-sensor-stream.html" TargetMode="External"/><Relationship Id="rId7" Type="http://schemas.openxmlformats.org/officeDocument/2006/relationships/hyperlink" Target="https://docs.surveycto.com/02-designing-forms/01-core-concepts/05.other-columns.html" TargetMode="External"/><Relationship Id="rId2"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29" Type="http://schemas.openxmlformats.org/officeDocument/2006/relationships/hyperlink" Target="https://docs.surveycto.com/02-designing-forms/01-core-concepts/03g.field-types-decimal.html" TargetMode="External"/><Relationship Id="rId11" Type="http://schemas.openxmlformats.org/officeDocument/2006/relationships/hyperlink" Target="https://docs.surveycto.com/02-designing-forms/01-core-concepts/03zb.field-types-calculate.html" TargetMode="External"/><Relationship Id="rId24" Type="http://schemas.openxmlformats.org/officeDocument/2006/relationships/hyperlink" Target="https://docs.surveycto.com/02-designing-forms/01-core-concepts/03zh.field-types-enumerator.html" TargetMode="External"/><Relationship Id="rId32" Type="http://schemas.openxmlformats.org/officeDocument/2006/relationships/hyperlink" Target="https://docs.surveycto.com/02-designing-forms/01-core-concepts/03j3.field-types-geotrace.html" TargetMode="External"/><Relationship Id="rId37" Type="http://schemas.openxmlformats.org/officeDocument/2006/relationships/hyperlink" Target="https://docs.surveycto.com/02-designing-forms/01-core-concepts/03p.field-types-note.html" TargetMode="External"/><Relationship Id="rId40" Type="http://schemas.openxmlformats.org/officeDocument/2006/relationships/hyperlink" Target="https://docs.surveycto.com/02-designing-forms/01-core-concepts/03s.field-types-deviceid.html" TargetMode="External"/><Relationship Id="rId45" Type="http://schemas.openxmlformats.org/officeDocument/2006/relationships/hyperlink" Target="https://docs.surveycto.com/02-designing-forms/01-core-concepts/03za.field-types-comments.html" TargetMode="External"/><Relationship Id="rId5" Type="http://schemas.openxmlformats.org/officeDocument/2006/relationships/hyperlink" Target="https://docs.surveycto.com/02-designing-forms/01-core-concepts/07.constraints.html" TargetMode="External"/><Relationship Id="rId15" Type="http://schemas.openxmlformats.org/officeDocument/2006/relationships/hyperlink" Target="https://docs.surveycto.com/02-designing-forms/01-core-concepts/05.other-columns.html" TargetMode="External"/><Relationship Id="rId23" Type="http://schemas.openxmlformats.org/officeDocument/2006/relationships/hyperlink" Target="https://docs.surveycto.com/04-monitoring-and-management/02-managing-for-quality/01.collecting-high-quality-data.html" TargetMode="External"/><Relationship Id="rId28" Type="http://schemas.openxmlformats.org/officeDocument/2006/relationships/hyperlink" Target="https://docs.surveycto.com/02-designing-forms/01-core-concepts/03f.field-types-integer.html" TargetMode="External"/><Relationship Id="rId36" Type="http://schemas.openxmlformats.org/officeDocument/2006/relationships/hyperlink" Target="https://docs.surveycto.com/02-designing-forms/01-core-concepts/03o2.field-types-file.html" TargetMode="External"/><Relationship Id="rId49" Type="http://schemas.openxmlformats.org/officeDocument/2006/relationships/hyperlink" Target="https://docs.surveycto.com/02-designing-forms/01-core-concepts/06.groups.html" TargetMode="External"/><Relationship Id="rId10" Type="http://schemas.openxmlformats.org/officeDocument/2006/relationships/hyperlink" Target="https://docs.surveycto.com/02-designing-forms/01-core-concepts/05.other-columns.html" TargetMode="External"/><Relationship Id="rId19" Type="http://schemas.openxmlformats.org/officeDocument/2006/relationships/hyperlink" Target="https://docs.surveycto.com/02-designing-forms/03-advanced-topics/02.cascading-selects.html" TargetMode="External"/><Relationship Id="rId31" Type="http://schemas.openxmlformats.org/officeDocument/2006/relationships/hyperlink" Target="https://docs.surveycto.com/02-designing-forms/01-core-concepts/03j2.field-types-geoshape.html" TargetMode="External"/><Relationship Id="rId44" Type="http://schemas.openxmlformats.org/officeDocument/2006/relationships/hyperlink" Target="https://docs.surveycto.com/02-designing-forms/01-core-concepts/03w.field-types-phonenumber.html" TargetMode="External"/><Relationship Id="rId52" Type="http://schemas.openxmlformats.org/officeDocument/2006/relationships/hyperlink" Target="https://docs.surveycto.com/02-designing-forms/01-core-concepts/09.expressions.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22" Type="http://schemas.openxmlformats.org/officeDocument/2006/relationships/hyperlink" Target="https://docs.surveycto.com/02-designing-forms/02-additional-topics/06.encrypting.html" TargetMode="External"/><Relationship Id="rId27" Type="http://schemas.openxmlformats.org/officeDocument/2006/relationships/hyperlink" Target="https://docs.surveycto.com/02-designing-forms/01-core-concepts/03zh.field-types-enumerator.html" TargetMode="External"/><Relationship Id="rId30" Type="http://schemas.openxmlformats.org/officeDocument/2006/relationships/hyperlink" Target="https://docs.surveycto.com/02-designing-forms/01-core-concepts/03j.field-types-geopoint.html" TargetMode="External"/><Relationship Id="rId35" Type="http://schemas.openxmlformats.org/officeDocument/2006/relationships/hyperlink" Target="https://docs.surveycto.com/02-designing-forms/01-core-concepts/03o.field-types-video.html" TargetMode="External"/><Relationship Id="rId43" Type="http://schemas.openxmlformats.org/officeDocument/2006/relationships/hyperlink" Target="https://docs.surveycto.com/02-designing-forms/01-core-concepts/03y.field-types-caseid.html" TargetMode="External"/><Relationship Id="rId48" Type="http://schemas.openxmlformats.org/officeDocument/2006/relationships/hyperlink" Target="https://docs.surveycto.com/02-designing-forms/01-core-concepts/06.groups.html" TargetMode="External"/><Relationship Id="rId8" Type="http://schemas.openxmlformats.org/officeDocument/2006/relationships/hyperlink" Target="https://docs.surveycto.com/02-designing-forms/01-core-concepts/05.other-columns.html" TargetMode="External"/><Relationship Id="rId51" Type="http://schemas.openxmlformats.org/officeDocument/2006/relationships/hyperlink" Target="https://docs.surveycto.com/02-designing-forms/01-core-concepts/03zf.field-types-sensor-statistic.html" TargetMode="External"/><Relationship Id="rId3" Type="http://schemas.openxmlformats.org/officeDocument/2006/relationships/hyperlink" Target="https://docs.surveycto.com/02-designing-forms/03-advanced-topics/03.preloading.html" TargetMode="External"/><Relationship Id="rId12" Type="http://schemas.openxmlformats.org/officeDocument/2006/relationships/hyperlink" Target="https://docs.surveycto.com/02-designing-forms/01-core-concepts/06.groups.html" TargetMode="External"/><Relationship Id="rId17" Type="http://schemas.openxmlformats.org/officeDocument/2006/relationships/hyperlink" Target="https://docs.surveycto.com/02-designing-forms/02-additional-topics/07.translating.html" TargetMode="External"/><Relationship Id="rId25" Type="http://schemas.openxmlformats.org/officeDocument/2006/relationships/hyperlink" Target="https://docs.surveycto.com/02-designing-forms/01-core-concepts/03zh.field-types-enumerator.html" TargetMode="External"/><Relationship Id="rId33" Type="http://schemas.openxmlformats.org/officeDocument/2006/relationships/hyperlink" Target="https://docs.surveycto.com/02-designing-forms/01-core-concepts/03k.field-types-barcode.html" TargetMode="External"/><Relationship Id="rId38" Type="http://schemas.openxmlformats.org/officeDocument/2006/relationships/hyperlink" Target="https://docs.surveycto.com/02-designing-forms/01-core-concepts/03q.field-types-start.html" TargetMode="External"/><Relationship Id="rId46" Type="http://schemas.openxmlformats.org/officeDocument/2006/relationships/hyperlink" Target="https://docs.surveycto.com/02-designing-forms/01-core-concepts/03zd.field-types-text-audit.html" TargetMode="External"/><Relationship Id="rId20" Type="http://schemas.openxmlformats.org/officeDocument/2006/relationships/hyperlink" Target="https://docs.surveycto.com/02-designing-forms/02-additional-topics/04.printable-copies.html" TargetMode="External"/><Relationship Id="rId41" Type="http://schemas.openxmlformats.org/officeDocument/2006/relationships/hyperlink" Target="https://docs.surveycto.com/02-designing-forms/01-core-concepts/03u.field-types-subscriberid.html" TargetMode="External"/><Relationship Id="rId1" Type="http://schemas.openxmlformats.org/officeDocument/2006/relationships/hyperlink" Target="https://docs.surveycto.com/02-designing-forms/02-additional-topics/07.translating.html" TargetMode="External"/><Relationship Id="rId6" Type="http://schemas.openxmlformats.org/officeDocument/2006/relationships/hyperlink" Target="https://docs.surveycto.com/02-designing-forms/01-core-concepts/08.relevance.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3-advanced-topics/02.cascading-selects.html" TargetMode="External"/><Relationship Id="rId2" Type="http://schemas.openxmlformats.org/officeDocument/2006/relationships/hyperlink" Target="https://docs.surveycto.com/02-designing-forms/04-sample-forms/04.images.html" TargetMode="External"/><Relationship Id="rId1"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10.upda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2-additional-topics/07.translating.html" TargetMode="External"/><Relationship Id="rId4" Type="http://schemas.openxmlformats.org/officeDocument/2006/relationships/hyperlink" Target="https://docs.surveycto.com/02-designing-forms/02-additional-topics/06.encryp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76"/>
  <sheetViews>
    <sheetView topLeftCell="B1" workbookViewId="0">
      <pane ySplit="1" topLeftCell="A175" activePane="bottomLeft" state="frozen"/>
      <selection pane="bottomLeft" activeCell="B178" sqref="B178"/>
    </sheetView>
  </sheetViews>
  <sheetFormatPr defaultColWidth="11.25" defaultRowHeight="15" customHeight="1"/>
  <cols>
    <col min="1" max="1" width="29" customWidth="1"/>
    <col min="2" max="2" width="19.75" customWidth="1"/>
    <col min="3" max="3" width="255.58203125" customWidth="1"/>
    <col min="4" max="5" width="30.4140625" customWidth="1"/>
    <col min="6" max="7" width="23" customWidth="1"/>
    <col min="8" max="8" width="12.75" customWidth="1"/>
    <col min="9" max="9" width="12.6640625" customWidth="1"/>
    <col min="10" max="10" width="17.08203125" customWidth="1"/>
    <col min="11" max="11" width="21.33203125" customWidth="1"/>
    <col min="12" max="12" width="21.4140625" customWidth="1"/>
    <col min="13" max="13" width="75.4140625" customWidth="1"/>
    <col min="14" max="14" width="8.08203125" customWidth="1"/>
    <col min="15" max="15" width="8.33203125" customWidth="1"/>
    <col min="16" max="16" width="18" customWidth="1"/>
    <col min="17" max="17" width="9.08203125" customWidth="1"/>
    <col min="18" max="18" width="135.58203125" customWidth="1"/>
    <col min="19" max="19" width="13.08203125" customWidth="1"/>
    <col min="20" max="20" width="12" customWidth="1"/>
    <col min="21" max="21" width="11.6640625" customWidth="1"/>
    <col min="22" max="22" width="11.4140625" customWidth="1"/>
    <col min="23" max="23" width="15" customWidth="1"/>
    <col min="24" max="25" width="48" customWidth="1"/>
    <col min="26" max="26" width="10.75" customWidth="1"/>
    <col min="27" max="27" width="17" customWidth="1"/>
    <col min="28" max="38" width="11" customWidth="1"/>
  </cols>
  <sheetData>
    <row r="1" spans="1:38" ht="18" customHeight="1">
      <c r="A1" s="1" t="s">
        <v>0</v>
      </c>
      <c r="B1" s="1" t="s">
        <v>1</v>
      </c>
      <c r="C1" s="2" t="s">
        <v>2</v>
      </c>
      <c r="D1" s="3" t="s">
        <v>3</v>
      </c>
      <c r="E1" s="2" t="s">
        <v>4</v>
      </c>
      <c r="F1" s="4" t="s">
        <v>5</v>
      </c>
      <c r="G1" s="4" t="s">
        <v>6</v>
      </c>
      <c r="H1" s="1" t="s">
        <v>7</v>
      </c>
      <c r="I1" s="5" t="s">
        <v>8</v>
      </c>
      <c r="J1" s="1" t="s">
        <v>9</v>
      </c>
      <c r="K1" s="4" t="s">
        <v>10</v>
      </c>
      <c r="L1" s="4"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6"/>
      <c r="AC1" s="6"/>
      <c r="AD1" s="6"/>
      <c r="AE1" s="6"/>
      <c r="AF1" s="6"/>
      <c r="AG1" s="6"/>
      <c r="AH1" s="6"/>
      <c r="AI1" s="6"/>
      <c r="AJ1" s="6"/>
      <c r="AK1" s="6"/>
      <c r="AL1" s="6"/>
    </row>
    <row r="2" spans="1:38" ht="15.75" customHeight="1">
      <c r="A2" s="7" t="s">
        <v>27</v>
      </c>
      <c r="B2" s="8" t="s">
        <v>28</v>
      </c>
      <c r="C2" s="9"/>
      <c r="D2" s="10"/>
      <c r="E2" s="10"/>
      <c r="F2" s="8"/>
      <c r="G2" s="8"/>
      <c r="H2" s="8"/>
      <c r="I2" s="7"/>
      <c r="J2" s="8"/>
      <c r="K2" s="8"/>
      <c r="L2" s="8"/>
      <c r="M2" s="8"/>
      <c r="N2" s="8"/>
      <c r="O2" s="8"/>
      <c r="P2" s="8"/>
      <c r="Q2" s="8"/>
      <c r="R2" s="8"/>
      <c r="S2" s="8"/>
      <c r="T2" s="8"/>
      <c r="U2" s="8"/>
      <c r="V2" s="8"/>
      <c r="W2" s="8"/>
      <c r="X2" s="8"/>
      <c r="Y2" s="8"/>
      <c r="Z2" s="8"/>
      <c r="AA2" s="8"/>
      <c r="AB2" s="11"/>
      <c r="AC2" s="11"/>
      <c r="AD2" s="11"/>
      <c r="AE2" s="11"/>
      <c r="AF2" s="11"/>
      <c r="AG2" s="11"/>
      <c r="AH2" s="11"/>
      <c r="AI2" s="11"/>
      <c r="AJ2" s="11"/>
      <c r="AK2" s="11"/>
      <c r="AL2" s="11"/>
    </row>
    <row r="3" spans="1:38" ht="15.75" customHeight="1">
      <c r="A3" s="7" t="s">
        <v>29</v>
      </c>
      <c r="B3" s="8" t="s">
        <v>30</v>
      </c>
      <c r="C3" s="9"/>
      <c r="D3" s="10"/>
      <c r="E3" s="10"/>
      <c r="F3" s="8"/>
      <c r="G3" s="8"/>
      <c r="H3" s="8"/>
      <c r="I3" s="7"/>
      <c r="J3" s="8"/>
      <c r="K3" s="8"/>
      <c r="L3" s="8"/>
      <c r="M3" s="8"/>
      <c r="N3" s="8"/>
      <c r="O3" s="8"/>
      <c r="P3" s="8"/>
      <c r="Q3" s="8"/>
      <c r="R3" s="8"/>
      <c r="S3" s="8"/>
      <c r="T3" s="8"/>
      <c r="U3" s="8"/>
      <c r="V3" s="8"/>
      <c r="W3" s="8"/>
      <c r="X3" s="8"/>
      <c r="Y3" s="8"/>
      <c r="Z3" s="8"/>
      <c r="AA3" s="8"/>
      <c r="AB3" s="11"/>
      <c r="AC3" s="11"/>
      <c r="AD3" s="11"/>
      <c r="AE3" s="11"/>
      <c r="AF3" s="11"/>
      <c r="AG3" s="11"/>
      <c r="AH3" s="11"/>
      <c r="AI3" s="11"/>
      <c r="AJ3" s="11"/>
      <c r="AK3" s="11"/>
      <c r="AL3" s="11"/>
    </row>
    <row r="4" spans="1:38" ht="15.75" customHeight="1">
      <c r="A4" s="7" t="s">
        <v>31</v>
      </c>
      <c r="B4" s="8" t="s">
        <v>31</v>
      </c>
      <c r="C4" s="9"/>
      <c r="D4" s="10"/>
      <c r="E4" s="10"/>
      <c r="F4" s="8"/>
      <c r="G4" s="8"/>
      <c r="H4" s="8"/>
      <c r="I4" s="7"/>
      <c r="J4" s="8"/>
      <c r="K4" s="8"/>
      <c r="L4" s="8"/>
      <c r="M4" s="8"/>
      <c r="N4" s="8"/>
      <c r="O4" s="8"/>
      <c r="P4" s="8"/>
      <c r="Q4" s="8"/>
      <c r="R4" s="8"/>
      <c r="S4" s="8"/>
      <c r="T4" s="8"/>
      <c r="U4" s="8"/>
      <c r="V4" s="8"/>
      <c r="W4" s="8"/>
      <c r="X4" s="8"/>
      <c r="Y4" s="8"/>
      <c r="Z4" s="8"/>
      <c r="AA4" s="8"/>
      <c r="AB4" s="11"/>
      <c r="AC4" s="11"/>
      <c r="AD4" s="11"/>
      <c r="AE4" s="11"/>
      <c r="AF4" s="11"/>
      <c r="AG4" s="11"/>
      <c r="AH4" s="11"/>
      <c r="AI4" s="11"/>
      <c r="AJ4" s="11"/>
      <c r="AK4" s="11"/>
      <c r="AL4" s="11"/>
    </row>
    <row r="5" spans="1:38" ht="15.75" customHeight="1">
      <c r="A5" s="7" t="s">
        <v>32</v>
      </c>
      <c r="B5" s="8" t="s">
        <v>33</v>
      </c>
      <c r="C5" s="9"/>
      <c r="D5" s="10"/>
      <c r="E5" s="10"/>
      <c r="F5" s="8"/>
      <c r="G5" s="8"/>
      <c r="H5" s="8"/>
      <c r="I5" s="7"/>
      <c r="J5" s="8"/>
      <c r="K5" s="8"/>
      <c r="L5" s="8"/>
      <c r="M5" s="8"/>
      <c r="N5" s="8"/>
      <c r="O5" s="8"/>
      <c r="P5" s="8"/>
      <c r="Q5" s="8"/>
      <c r="R5" s="8"/>
      <c r="S5" s="8"/>
      <c r="T5" s="8"/>
      <c r="U5" s="8"/>
      <c r="V5" s="8"/>
      <c r="W5" s="8"/>
      <c r="X5" s="8"/>
      <c r="Y5" s="8"/>
      <c r="Z5" s="8"/>
      <c r="AA5" s="8"/>
      <c r="AB5" s="11"/>
      <c r="AC5" s="11"/>
      <c r="AD5" s="11"/>
      <c r="AE5" s="11"/>
      <c r="AF5" s="11"/>
      <c r="AG5" s="11"/>
      <c r="AH5" s="11"/>
      <c r="AI5" s="11"/>
      <c r="AJ5" s="11"/>
      <c r="AK5" s="11"/>
      <c r="AL5" s="11"/>
    </row>
    <row r="6" spans="1:38" ht="15.75" customHeight="1">
      <c r="A6" s="7" t="s">
        <v>34</v>
      </c>
      <c r="B6" s="8" t="s">
        <v>34</v>
      </c>
      <c r="C6" s="9"/>
      <c r="D6" s="10"/>
      <c r="E6" s="10"/>
      <c r="F6" s="8"/>
      <c r="G6" s="8"/>
      <c r="H6" s="8"/>
      <c r="I6" s="7"/>
      <c r="J6" s="8"/>
      <c r="K6" s="8"/>
      <c r="L6" s="8"/>
      <c r="M6" s="8"/>
      <c r="N6" s="8"/>
      <c r="O6" s="8"/>
      <c r="P6" s="8"/>
      <c r="Q6" s="8"/>
      <c r="R6" s="8"/>
      <c r="S6" s="8"/>
      <c r="T6" s="8"/>
      <c r="U6" s="8"/>
      <c r="V6" s="8"/>
      <c r="W6" s="8"/>
      <c r="X6" s="8"/>
      <c r="Y6" s="8"/>
      <c r="Z6" s="8"/>
      <c r="AA6" s="8"/>
      <c r="AB6" s="11"/>
      <c r="AC6" s="11"/>
      <c r="AD6" s="11"/>
      <c r="AE6" s="11"/>
      <c r="AF6" s="11"/>
      <c r="AG6" s="11"/>
      <c r="AH6" s="11"/>
      <c r="AI6" s="11"/>
      <c r="AJ6" s="11"/>
      <c r="AK6" s="11"/>
      <c r="AL6" s="11"/>
    </row>
    <row r="7" spans="1:38" ht="15.75" customHeight="1">
      <c r="A7" s="7" t="s">
        <v>35</v>
      </c>
      <c r="B7" s="8" t="s">
        <v>36</v>
      </c>
      <c r="C7" s="9"/>
      <c r="D7" s="10"/>
      <c r="E7" s="10"/>
      <c r="F7" s="8"/>
      <c r="G7" s="8"/>
      <c r="H7" s="8"/>
      <c r="I7" s="7"/>
      <c r="J7" s="8"/>
      <c r="K7" s="8"/>
      <c r="L7" s="8"/>
      <c r="M7" s="8"/>
      <c r="N7" s="8"/>
      <c r="O7" s="8"/>
      <c r="P7" s="8"/>
      <c r="Q7" s="8"/>
      <c r="R7" s="8" t="s">
        <v>37</v>
      </c>
      <c r="S7" s="8"/>
      <c r="T7" s="8"/>
      <c r="U7" s="8"/>
      <c r="V7" s="8"/>
      <c r="W7" s="8"/>
      <c r="X7" s="8"/>
      <c r="Y7" s="8"/>
      <c r="Z7" s="8"/>
      <c r="AA7" s="8"/>
      <c r="AB7" s="11"/>
      <c r="AC7" s="11"/>
      <c r="AD7" s="11"/>
      <c r="AE7" s="11"/>
      <c r="AF7" s="11"/>
      <c r="AG7" s="11"/>
      <c r="AH7" s="11"/>
      <c r="AI7" s="11"/>
      <c r="AJ7" s="11"/>
      <c r="AK7" s="11"/>
      <c r="AL7" s="11"/>
    </row>
    <row r="8" spans="1:38" ht="15.75" customHeight="1">
      <c r="A8" s="7" t="s">
        <v>35</v>
      </c>
      <c r="B8" s="8" t="s">
        <v>38</v>
      </c>
      <c r="C8" s="9"/>
      <c r="D8" s="10"/>
      <c r="E8" s="10"/>
      <c r="F8" s="8"/>
      <c r="G8" s="8"/>
      <c r="H8" s="8"/>
      <c r="I8" s="7"/>
      <c r="J8" s="8"/>
      <c r="K8" s="8"/>
      <c r="L8" s="8"/>
      <c r="M8" s="8"/>
      <c r="N8" s="8"/>
      <c r="O8" s="8"/>
      <c r="P8" s="8"/>
      <c r="Q8" s="8"/>
      <c r="R8" s="8" t="s">
        <v>39</v>
      </c>
      <c r="S8" s="8"/>
      <c r="T8" s="8"/>
      <c r="U8" s="8"/>
      <c r="V8" s="8"/>
      <c r="W8" s="8"/>
      <c r="X8" s="8"/>
      <c r="Y8" s="8"/>
      <c r="Z8" s="8"/>
      <c r="AA8" s="8"/>
      <c r="AB8" s="11"/>
      <c r="AC8" s="11"/>
      <c r="AD8" s="11"/>
      <c r="AE8" s="11"/>
      <c r="AF8" s="11"/>
      <c r="AG8" s="11"/>
      <c r="AH8" s="11"/>
      <c r="AI8" s="11"/>
      <c r="AJ8" s="11"/>
      <c r="AK8" s="11"/>
      <c r="AL8" s="11"/>
    </row>
    <row r="9" spans="1:38" ht="15.75" customHeight="1">
      <c r="A9" s="7" t="s">
        <v>40</v>
      </c>
      <c r="B9" s="8" t="s">
        <v>40</v>
      </c>
      <c r="C9" s="9"/>
      <c r="D9" s="10"/>
      <c r="E9" s="10"/>
      <c r="F9" s="8"/>
      <c r="G9" s="8"/>
      <c r="H9" s="8"/>
      <c r="I9" s="7"/>
      <c r="J9" s="8"/>
      <c r="K9" s="8"/>
      <c r="L9" s="8"/>
      <c r="M9" s="8"/>
      <c r="N9" s="8"/>
      <c r="O9" s="8"/>
      <c r="P9" s="8"/>
      <c r="Q9" s="8"/>
      <c r="R9" s="8"/>
      <c r="S9" s="8"/>
      <c r="T9" s="8"/>
      <c r="U9" s="8"/>
      <c r="V9" s="8"/>
      <c r="W9" s="8"/>
      <c r="X9" s="8"/>
      <c r="Y9" s="8"/>
      <c r="Z9" s="8"/>
      <c r="AA9" s="8"/>
      <c r="AB9" s="11"/>
      <c r="AC9" s="11"/>
      <c r="AD9" s="11"/>
      <c r="AE9" s="11"/>
      <c r="AF9" s="11"/>
      <c r="AG9" s="11"/>
      <c r="AH9" s="11"/>
      <c r="AI9" s="11"/>
      <c r="AJ9" s="11"/>
      <c r="AK9" s="11"/>
      <c r="AL9" s="11"/>
    </row>
    <row r="10" spans="1:38" ht="15.75" customHeight="1">
      <c r="A10" s="7"/>
      <c r="B10" s="12"/>
      <c r="C10" s="13"/>
      <c r="D10" s="14"/>
      <c r="E10" s="14"/>
      <c r="F10" s="12"/>
      <c r="G10" s="12"/>
      <c r="H10" s="12"/>
      <c r="I10" s="15"/>
      <c r="J10" s="12"/>
      <c r="K10" s="12"/>
      <c r="L10" s="12"/>
      <c r="M10" s="12"/>
      <c r="N10" s="12"/>
      <c r="O10" s="12"/>
      <c r="P10" s="12"/>
      <c r="Q10" s="12"/>
      <c r="R10" s="12"/>
      <c r="S10" s="12"/>
      <c r="T10" s="12"/>
      <c r="U10" s="12"/>
      <c r="V10" s="12"/>
      <c r="W10" s="12"/>
      <c r="X10" s="12"/>
      <c r="Y10" s="12"/>
      <c r="Z10" s="12"/>
      <c r="AA10" s="12"/>
      <c r="AB10" s="11"/>
      <c r="AC10" s="11"/>
      <c r="AD10" s="11"/>
      <c r="AE10" s="11"/>
      <c r="AF10" s="11"/>
      <c r="AG10" s="11"/>
      <c r="AH10" s="11"/>
      <c r="AI10" s="11"/>
      <c r="AJ10" s="11"/>
      <c r="AK10" s="11"/>
      <c r="AL10" s="11"/>
    </row>
    <row r="11" spans="1:38" ht="15.75" customHeight="1">
      <c r="A11" s="16" t="s">
        <v>41</v>
      </c>
      <c r="B11" s="17" t="s">
        <v>42</v>
      </c>
      <c r="C11" s="18" t="s">
        <v>43</v>
      </c>
      <c r="D11" s="19"/>
      <c r="E11" s="19"/>
      <c r="F11" s="20"/>
      <c r="G11" s="20"/>
      <c r="H11" s="20"/>
      <c r="I11" s="21" t="s">
        <v>44</v>
      </c>
      <c r="J11" s="20"/>
      <c r="K11" s="20"/>
      <c r="L11" s="20"/>
      <c r="M11" s="20"/>
      <c r="N11" s="20"/>
      <c r="O11" s="20"/>
      <c r="P11" s="20"/>
      <c r="Q11" s="20"/>
      <c r="R11" s="20"/>
      <c r="S11" s="20"/>
      <c r="T11" s="20"/>
      <c r="U11" s="20"/>
      <c r="V11" s="20"/>
      <c r="W11" s="20"/>
      <c r="X11" s="20"/>
      <c r="Y11" s="20"/>
      <c r="Z11" s="20"/>
      <c r="AA11" s="20"/>
      <c r="AB11" s="11"/>
      <c r="AC11" s="11"/>
      <c r="AD11" s="11"/>
      <c r="AE11" s="11"/>
      <c r="AF11" s="11"/>
      <c r="AG11" s="22"/>
      <c r="AH11" s="22"/>
      <c r="AI11" s="22"/>
      <c r="AJ11" s="22"/>
      <c r="AK11" s="22"/>
      <c r="AL11" s="22"/>
    </row>
    <row r="12" spans="1:38" ht="15.75" customHeight="1">
      <c r="A12" s="23" t="s">
        <v>45</v>
      </c>
      <c r="B12" s="24" t="s">
        <v>46</v>
      </c>
      <c r="C12" s="25" t="s">
        <v>47</v>
      </c>
      <c r="D12" s="26"/>
      <c r="E12" s="26"/>
      <c r="F12" s="27"/>
      <c r="G12" s="27"/>
      <c r="H12" s="27"/>
      <c r="I12" s="28" t="s">
        <v>48</v>
      </c>
      <c r="J12" s="27"/>
      <c r="K12" s="27"/>
      <c r="L12" s="27"/>
      <c r="M12" s="27"/>
      <c r="N12" s="27"/>
      <c r="O12" s="27"/>
      <c r="P12" s="27"/>
      <c r="Q12" s="27"/>
      <c r="R12" s="27"/>
      <c r="S12" s="27"/>
      <c r="T12" s="27"/>
      <c r="U12" s="27"/>
      <c r="V12" s="27"/>
      <c r="W12" s="27"/>
      <c r="X12" s="27"/>
      <c r="Y12" s="27"/>
      <c r="Z12" s="27"/>
      <c r="AA12" s="27"/>
      <c r="AB12" s="11"/>
      <c r="AC12" s="11"/>
      <c r="AD12" s="11"/>
      <c r="AE12" s="11"/>
      <c r="AF12" s="11"/>
      <c r="AG12" s="22"/>
      <c r="AH12" s="22"/>
      <c r="AI12" s="22"/>
      <c r="AJ12" s="22"/>
      <c r="AK12" s="22"/>
      <c r="AL12" s="22"/>
    </row>
    <row r="13" spans="1:38" ht="15.75" customHeight="1">
      <c r="A13" s="29" t="s">
        <v>49</v>
      </c>
      <c r="B13" s="30" t="s">
        <v>50</v>
      </c>
      <c r="C13" s="31" t="s">
        <v>51</v>
      </c>
      <c r="D13" s="32" t="s">
        <v>52</v>
      </c>
      <c r="E13" s="33" t="str">
        <f t="shared" ref="E13:E175" si="0">B13&amp;"
"&amp;D13</f>
        <v>monitorid
মনিটরের নাামঃ</v>
      </c>
      <c r="F13" s="34"/>
      <c r="G13" s="35"/>
      <c r="H13" s="35"/>
      <c r="I13" s="36" t="s">
        <v>53</v>
      </c>
      <c r="J13" s="37"/>
      <c r="K13" s="37"/>
      <c r="L13" s="34"/>
      <c r="M13" s="35"/>
      <c r="N13" s="35"/>
      <c r="O13" s="38" t="s">
        <v>54</v>
      </c>
      <c r="P13" s="35"/>
      <c r="Q13" s="34"/>
      <c r="R13" s="35"/>
      <c r="S13" s="35"/>
      <c r="T13" s="35"/>
      <c r="U13" s="35"/>
      <c r="V13" s="35"/>
      <c r="W13" s="35"/>
      <c r="X13" s="35"/>
      <c r="Y13" s="35"/>
      <c r="Z13" s="35"/>
      <c r="AA13" s="35"/>
      <c r="AB13" s="22"/>
      <c r="AC13" s="22"/>
      <c r="AD13" s="22"/>
      <c r="AE13" s="22"/>
      <c r="AF13" s="22"/>
      <c r="AG13" s="22"/>
      <c r="AH13" s="22"/>
      <c r="AI13" s="22"/>
      <c r="AJ13" s="22"/>
      <c r="AK13" s="22"/>
      <c r="AL13" s="22"/>
    </row>
    <row r="14" spans="1:38" ht="15.75" customHeight="1">
      <c r="A14" s="39" t="s">
        <v>35</v>
      </c>
      <c r="B14" s="40" t="s">
        <v>55</v>
      </c>
      <c r="C14" s="41" t="s">
        <v>56</v>
      </c>
      <c r="D14" s="42"/>
      <c r="E14" s="43" t="str">
        <f t="shared" si="0"/>
        <v xml:space="preserve">monitorname
</v>
      </c>
      <c r="F14" s="44"/>
      <c r="G14" s="45"/>
      <c r="H14" s="45"/>
      <c r="I14" s="46"/>
      <c r="J14" s="46"/>
      <c r="K14" s="46"/>
      <c r="L14" s="44"/>
      <c r="M14" s="45"/>
      <c r="N14" s="45"/>
      <c r="O14" s="45"/>
      <c r="P14" s="45"/>
      <c r="Q14" s="44"/>
      <c r="R14" s="47" t="s">
        <v>57</v>
      </c>
      <c r="S14" s="45"/>
      <c r="T14" s="45"/>
      <c r="U14" s="45"/>
      <c r="V14" s="45"/>
      <c r="W14" s="45"/>
      <c r="X14" s="45"/>
      <c r="Y14" s="45"/>
      <c r="Z14" s="45"/>
      <c r="AA14" s="45"/>
      <c r="AB14" s="22"/>
      <c r="AC14" s="22"/>
      <c r="AD14" s="22"/>
      <c r="AE14" s="22"/>
      <c r="AF14" s="22"/>
      <c r="AG14" s="22"/>
      <c r="AH14" s="22"/>
      <c r="AI14" s="22"/>
      <c r="AJ14" s="22"/>
      <c r="AK14" s="22"/>
      <c r="AL14" s="22"/>
    </row>
    <row r="15" spans="1:38" ht="15.75" customHeight="1">
      <c r="A15" s="48" t="s">
        <v>58</v>
      </c>
      <c r="B15" s="49" t="s">
        <v>59</v>
      </c>
      <c r="C15" s="50" t="s">
        <v>60</v>
      </c>
      <c r="D15" s="51" t="s">
        <v>61</v>
      </c>
      <c r="E15" s="52" t="str">
        <f t="shared" si="0"/>
        <v>superid
সুপারভাইজারের নাামঃ</v>
      </c>
      <c r="F15" s="53"/>
      <c r="G15" s="54"/>
      <c r="H15" s="54"/>
      <c r="I15" s="55" t="s">
        <v>62</v>
      </c>
      <c r="J15" s="56"/>
      <c r="K15" s="56"/>
      <c r="L15" s="53"/>
      <c r="M15" s="54"/>
      <c r="N15" s="54"/>
      <c r="O15" s="38" t="s">
        <v>54</v>
      </c>
      <c r="P15" s="54"/>
      <c r="Q15" s="53"/>
      <c r="R15" s="54"/>
      <c r="S15" s="54"/>
      <c r="T15" s="54"/>
      <c r="U15" s="54"/>
      <c r="V15" s="54"/>
      <c r="W15" s="54"/>
      <c r="X15" s="54"/>
      <c r="Y15" s="54"/>
      <c r="Z15" s="54"/>
      <c r="AA15" s="54"/>
      <c r="AB15" s="22"/>
      <c r="AC15" s="22"/>
      <c r="AD15" s="22"/>
      <c r="AE15" s="22"/>
      <c r="AF15" s="22"/>
      <c r="AG15" s="22"/>
      <c r="AH15" s="22"/>
      <c r="AI15" s="22"/>
      <c r="AJ15" s="22"/>
      <c r="AK15" s="22"/>
      <c r="AL15" s="22"/>
    </row>
    <row r="16" spans="1:38" ht="15.75" customHeight="1">
      <c r="A16" s="39" t="s">
        <v>35</v>
      </c>
      <c r="B16" s="40" t="s">
        <v>63</v>
      </c>
      <c r="C16" s="41" t="s">
        <v>64</v>
      </c>
      <c r="D16" s="57"/>
      <c r="E16" s="43" t="str">
        <f t="shared" si="0"/>
        <v xml:space="preserve">supername
</v>
      </c>
      <c r="F16" s="46"/>
      <c r="G16" s="45"/>
      <c r="H16" s="45"/>
      <c r="I16" s="46"/>
      <c r="J16" s="46"/>
      <c r="K16" s="46"/>
      <c r="L16" s="44"/>
      <c r="M16" s="45"/>
      <c r="N16" s="45"/>
      <c r="O16" s="45"/>
      <c r="P16" s="45"/>
      <c r="Q16" s="44"/>
      <c r="R16" s="47" t="s">
        <v>65</v>
      </c>
      <c r="S16" s="45"/>
      <c r="T16" s="45"/>
      <c r="U16" s="45"/>
      <c r="V16" s="45"/>
      <c r="W16" s="45"/>
      <c r="X16" s="45"/>
      <c r="Y16" s="45"/>
      <c r="Z16" s="45"/>
      <c r="AA16" s="45"/>
      <c r="AB16" s="22"/>
      <c r="AC16" s="22"/>
      <c r="AD16" s="22"/>
      <c r="AE16" s="22"/>
      <c r="AF16" s="22"/>
      <c r="AG16" s="22"/>
      <c r="AH16" s="22"/>
      <c r="AI16" s="22"/>
      <c r="AJ16" s="22"/>
      <c r="AK16" s="22"/>
      <c r="AL16" s="22"/>
    </row>
    <row r="17" spans="1:38" ht="15.75" customHeight="1">
      <c r="A17" s="48" t="s">
        <v>66</v>
      </c>
      <c r="B17" s="49" t="s">
        <v>67</v>
      </c>
      <c r="C17" s="50" t="s">
        <v>68</v>
      </c>
      <c r="D17" s="52" t="s">
        <v>69</v>
      </c>
      <c r="E17" s="52" t="str">
        <f t="shared" si="0"/>
        <v>enumid
তথ্য সংগ্রহকারীর নামঃ</v>
      </c>
      <c r="F17" s="54"/>
      <c r="G17" s="54"/>
      <c r="H17" s="54"/>
      <c r="I17" s="55" t="s">
        <v>70</v>
      </c>
      <c r="J17" s="56"/>
      <c r="K17" s="56"/>
      <c r="L17" s="53"/>
      <c r="M17" s="54"/>
      <c r="N17" s="54"/>
      <c r="O17" s="38" t="s">
        <v>54</v>
      </c>
      <c r="P17" s="54"/>
      <c r="Q17" s="53"/>
      <c r="R17" s="54"/>
      <c r="S17" s="54"/>
      <c r="T17" s="54"/>
      <c r="U17" s="54"/>
      <c r="V17" s="54"/>
      <c r="W17" s="54"/>
      <c r="X17" s="54"/>
      <c r="Y17" s="54"/>
      <c r="Z17" s="54"/>
      <c r="AA17" s="54"/>
      <c r="AB17" s="22"/>
      <c r="AC17" s="22"/>
      <c r="AD17" s="22"/>
      <c r="AE17" s="22"/>
      <c r="AF17" s="22"/>
      <c r="AG17" s="22"/>
      <c r="AH17" s="22"/>
      <c r="AI17" s="22"/>
      <c r="AJ17" s="22"/>
      <c r="AK17" s="22"/>
      <c r="AL17" s="22"/>
    </row>
    <row r="18" spans="1:38" ht="15.75" customHeight="1">
      <c r="A18" s="39" t="s">
        <v>35</v>
      </c>
      <c r="B18" s="40" t="s">
        <v>71</v>
      </c>
      <c r="C18" s="41" t="s">
        <v>72</v>
      </c>
      <c r="D18" s="41"/>
      <c r="E18" s="43" t="str">
        <f t="shared" si="0"/>
        <v xml:space="preserve">enumname
</v>
      </c>
      <c r="F18" s="45"/>
      <c r="G18" s="45"/>
      <c r="H18" s="45"/>
      <c r="I18" s="45"/>
      <c r="J18" s="45"/>
      <c r="K18" s="45"/>
      <c r="L18" s="46"/>
      <c r="M18" s="45"/>
      <c r="N18" s="45"/>
      <c r="O18" s="45"/>
      <c r="P18" s="45"/>
      <c r="Q18" s="46"/>
      <c r="R18" s="47" t="s">
        <v>73</v>
      </c>
      <c r="S18" s="46"/>
      <c r="T18" s="46"/>
      <c r="U18" s="45"/>
      <c r="V18" s="45"/>
      <c r="W18" s="45"/>
      <c r="X18" s="45"/>
      <c r="Y18" s="45"/>
      <c r="Z18" s="45"/>
      <c r="AA18" s="45"/>
      <c r="AB18" s="22"/>
      <c r="AC18" s="22"/>
      <c r="AD18" s="22"/>
      <c r="AE18" s="22"/>
      <c r="AF18" s="22"/>
      <c r="AG18" s="22"/>
      <c r="AH18" s="22"/>
      <c r="AI18" s="22"/>
      <c r="AJ18" s="22"/>
      <c r="AK18" s="22"/>
      <c r="AL18" s="22"/>
    </row>
    <row r="19" spans="1:38" ht="15.75" customHeight="1">
      <c r="A19" s="58" t="s">
        <v>74</v>
      </c>
      <c r="B19" s="59" t="s">
        <v>75</v>
      </c>
      <c r="C19" s="60" t="s">
        <v>76</v>
      </c>
      <c r="D19" s="61" t="s">
        <v>77</v>
      </c>
      <c r="E19" s="33" t="str">
        <f t="shared" si="0"/>
        <v>a1division
বিভাগ</v>
      </c>
      <c r="F19" s="53"/>
      <c r="G19" s="34"/>
      <c r="H19" s="34"/>
      <c r="I19" s="62" t="s">
        <v>78</v>
      </c>
      <c r="J19" s="34"/>
      <c r="K19" s="34"/>
      <c r="L19" s="34"/>
      <c r="M19" s="35"/>
      <c r="N19" s="34"/>
      <c r="O19" s="38" t="s">
        <v>54</v>
      </c>
      <c r="P19" s="34"/>
      <c r="Q19" s="34"/>
      <c r="R19" s="34"/>
      <c r="S19" s="34"/>
      <c r="T19" s="34"/>
      <c r="U19" s="34"/>
      <c r="V19" s="34"/>
      <c r="W19" s="34"/>
      <c r="X19" s="34"/>
      <c r="Y19" s="34"/>
      <c r="Z19" s="34"/>
      <c r="AA19" s="34"/>
      <c r="AB19" s="22"/>
      <c r="AC19" s="22"/>
      <c r="AD19" s="22"/>
      <c r="AE19" s="22"/>
      <c r="AF19" s="22"/>
      <c r="AG19" s="22"/>
      <c r="AH19" s="22"/>
      <c r="AI19" s="22"/>
      <c r="AJ19" s="22"/>
      <c r="AK19" s="22"/>
      <c r="AL19" s="22"/>
    </row>
    <row r="20" spans="1:38" ht="15.75" customHeight="1">
      <c r="A20" s="39" t="s">
        <v>35</v>
      </c>
      <c r="B20" s="40" t="s">
        <v>79</v>
      </c>
      <c r="C20" s="41" t="s">
        <v>80</v>
      </c>
      <c r="D20" s="42"/>
      <c r="E20" s="43" t="str">
        <f t="shared" si="0"/>
        <v xml:space="preserve">divisionname
</v>
      </c>
      <c r="F20" s="44"/>
      <c r="G20" s="45"/>
      <c r="H20" s="45"/>
      <c r="I20" s="46"/>
      <c r="J20" s="46"/>
      <c r="K20" s="46"/>
      <c r="L20" s="44"/>
      <c r="M20" s="45"/>
      <c r="N20" s="45"/>
      <c r="O20" s="45"/>
      <c r="P20" s="45"/>
      <c r="Q20" s="44"/>
      <c r="R20" s="47" t="s">
        <v>81</v>
      </c>
      <c r="S20" s="45"/>
      <c r="T20" s="45"/>
      <c r="U20" s="45"/>
      <c r="V20" s="45"/>
      <c r="W20" s="45"/>
      <c r="X20" s="45"/>
      <c r="Y20" s="45"/>
      <c r="Z20" s="45"/>
      <c r="AA20" s="45"/>
      <c r="AB20" s="22"/>
      <c r="AC20" s="22"/>
      <c r="AD20" s="22"/>
      <c r="AE20" s="22"/>
      <c r="AF20" s="22"/>
      <c r="AG20" s="22"/>
      <c r="AH20" s="22"/>
      <c r="AI20" s="22"/>
      <c r="AJ20" s="22"/>
      <c r="AK20" s="22"/>
      <c r="AL20" s="22"/>
    </row>
    <row r="21" spans="1:38" ht="15.75" customHeight="1">
      <c r="A21" s="63" t="s">
        <v>82</v>
      </c>
      <c r="B21" s="64" t="s">
        <v>83</v>
      </c>
      <c r="C21" s="65" t="s">
        <v>84</v>
      </c>
      <c r="D21" s="61" t="s">
        <v>85</v>
      </c>
      <c r="E21" s="52" t="str">
        <f t="shared" si="0"/>
        <v>a1district
জেলা</v>
      </c>
      <c r="F21" s="53"/>
      <c r="G21" s="53"/>
      <c r="H21" s="53"/>
      <c r="I21" s="66" t="s">
        <v>86</v>
      </c>
      <c r="J21" s="53"/>
      <c r="K21" s="53"/>
      <c r="L21" s="53"/>
      <c r="M21" s="54"/>
      <c r="N21" s="53"/>
      <c r="O21" s="38" t="s">
        <v>54</v>
      </c>
      <c r="P21" s="53"/>
      <c r="Q21" s="53"/>
      <c r="R21" s="53"/>
      <c r="S21" s="53"/>
      <c r="T21" s="53"/>
      <c r="U21" s="53"/>
      <c r="V21" s="53"/>
      <c r="W21" s="53"/>
      <c r="X21" s="53"/>
      <c r="Y21" s="53"/>
      <c r="Z21" s="53"/>
      <c r="AA21" s="53"/>
      <c r="AB21" s="22"/>
      <c r="AC21" s="22"/>
      <c r="AD21" s="22"/>
      <c r="AE21" s="22"/>
      <c r="AF21" s="22"/>
      <c r="AG21" s="22"/>
      <c r="AH21" s="22"/>
      <c r="AI21" s="22"/>
      <c r="AJ21" s="22"/>
      <c r="AK21" s="22"/>
      <c r="AL21" s="22"/>
    </row>
    <row r="22" spans="1:38" ht="15.75" customHeight="1">
      <c r="A22" s="39" t="s">
        <v>35</v>
      </c>
      <c r="B22" s="40" t="s">
        <v>87</v>
      </c>
      <c r="C22" s="41" t="s">
        <v>88</v>
      </c>
      <c r="D22" s="42"/>
      <c r="E22" s="43" t="str">
        <f t="shared" si="0"/>
        <v xml:space="preserve">districtname
</v>
      </c>
      <c r="F22" s="44"/>
      <c r="G22" s="45"/>
      <c r="H22" s="45"/>
      <c r="I22" s="46"/>
      <c r="J22" s="46"/>
      <c r="K22" s="46"/>
      <c r="L22" s="44"/>
      <c r="M22" s="45"/>
      <c r="N22" s="45"/>
      <c r="O22" s="45"/>
      <c r="P22" s="45"/>
      <c r="Q22" s="44"/>
      <c r="R22" s="47" t="s">
        <v>89</v>
      </c>
      <c r="S22" s="45"/>
      <c r="T22" s="45"/>
      <c r="U22" s="45"/>
      <c r="V22" s="45"/>
      <c r="W22" s="45"/>
      <c r="X22" s="45"/>
      <c r="Y22" s="45"/>
      <c r="Z22" s="45"/>
      <c r="AA22" s="45"/>
      <c r="AB22" s="22"/>
      <c r="AC22" s="22"/>
      <c r="AD22" s="22"/>
      <c r="AE22" s="22"/>
      <c r="AF22" s="22"/>
      <c r="AG22" s="22"/>
      <c r="AH22" s="22"/>
      <c r="AI22" s="22"/>
      <c r="AJ22" s="22"/>
      <c r="AK22" s="22"/>
      <c r="AL22" s="22"/>
    </row>
    <row r="23" spans="1:38" ht="15.75" customHeight="1">
      <c r="A23" s="63" t="s">
        <v>90</v>
      </c>
      <c r="B23" s="64" t="s">
        <v>91</v>
      </c>
      <c r="C23" s="65" t="s">
        <v>92</v>
      </c>
      <c r="D23" s="61" t="s">
        <v>93</v>
      </c>
      <c r="E23" s="52" t="str">
        <f t="shared" si="0"/>
        <v xml:space="preserve">a1upazila
থানা/উপজেলা </v>
      </c>
      <c r="F23" s="53"/>
      <c r="G23" s="53"/>
      <c r="H23" s="53"/>
      <c r="I23" s="66" t="s">
        <v>94</v>
      </c>
      <c r="J23" s="53"/>
      <c r="K23" s="53"/>
      <c r="L23" s="53"/>
      <c r="M23" s="54"/>
      <c r="N23" s="53"/>
      <c r="O23" s="38" t="s">
        <v>54</v>
      </c>
      <c r="P23" s="53"/>
      <c r="Q23" s="53"/>
      <c r="R23" s="53"/>
      <c r="S23" s="53"/>
      <c r="T23" s="53"/>
      <c r="U23" s="53"/>
      <c r="V23" s="53"/>
      <c r="W23" s="53"/>
      <c r="X23" s="53"/>
      <c r="Y23" s="53"/>
      <c r="Z23" s="53"/>
      <c r="AA23" s="53"/>
      <c r="AB23" s="22"/>
      <c r="AC23" s="22"/>
      <c r="AD23" s="22"/>
      <c r="AE23" s="22"/>
      <c r="AF23" s="22"/>
      <c r="AG23" s="22"/>
      <c r="AH23" s="22"/>
      <c r="AI23" s="22"/>
      <c r="AJ23" s="22"/>
      <c r="AK23" s="22"/>
      <c r="AL23" s="22"/>
    </row>
    <row r="24" spans="1:38" ht="15.75" customHeight="1">
      <c r="A24" s="39" t="s">
        <v>35</v>
      </c>
      <c r="B24" s="40" t="s">
        <v>95</v>
      </c>
      <c r="C24" s="41" t="s">
        <v>96</v>
      </c>
      <c r="D24" s="42"/>
      <c r="E24" s="43" t="str">
        <f t="shared" si="0"/>
        <v xml:space="preserve">upazilaname
</v>
      </c>
      <c r="F24" s="44"/>
      <c r="G24" s="45"/>
      <c r="H24" s="45"/>
      <c r="I24" s="46"/>
      <c r="J24" s="46"/>
      <c r="K24" s="46"/>
      <c r="L24" s="44"/>
      <c r="M24" s="45"/>
      <c r="N24" s="45"/>
      <c r="O24" s="45"/>
      <c r="P24" s="45"/>
      <c r="Q24" s="44"/>
      <c r="R24" s="47" t="s">
        <v>97</v>
      </c>
      <c r="S24" s="45"/>
      <c r="T24" s="45"/>
      <c r="U24" s="45"/>
      <c r="V24" s="45"/>
      <c r="W24" s="45"/>
      <c r="X24" s="45"/>
      <c r="Y24" s="45"/>
      <c r="Z24" s="45"/>
      <c r="AA24" s="45"/>
      <c r="AB24" s="22"/>
      <c r="AC24" s="22"/>
      <c r="AD24" s="22"/>
      <c r="AE24" s="22"/>
      <c r="AF24" s="22"/>
      <c r="AG24" s="22"/>
      <c r="AH24" s="22"/>
      <c r="AI24" s="22"/>
      <c r="AJ24" s="22"/>
      <c r="AK24" s="22"/>
      <c r="AL24" s="22"/>
    </row>
    <row r="25" spans="1:38" ht="15.75" customHeight="1">
      <c r="A25" s="63" t="s">
        <v>98</v>
      </c>
      <c r="B25" s="64" t="s">
        <v>99</v>
      </c>
      <c r="C25" s="65" t="s">
        <v>100</v>
      </c>
      <c r="D25" s="61" t="s">
        <v>101</v>
      </c>
      <c r="E25" s="52" t="str">
        <f t="shared" si="0"/>
        <v>a1union
ইউনিয়ন</v>
      </c>
      <c r="F25" s="53"/>
      <c r="G25" s="53"/>
      <c r="H25" s="53"/>
      <c r="I25" s="66" t="s">
        <v>102</v>
      </c>
      <c r="J25" s="53"/>
      <c r="K25" s="53"/>
      <c r="L25" s="53"/>
      <c r="M25" s="54"/>
      <c r="N25" s="53"/>
      <c r="O25" s="38" t="s">
        <v>54</v>
      </c>
      <c r="P25" s="53"/>
      <c r="Q25" s="53"/>
      <c r="R25" s="53"/>
      <c r="S25" s="53"/>
      <c r="T25" s="53"/>
      <c r="U25" s="53"/>
      <c r="V25" s="53"/>
      <c r="W25" s="53"/>
      <c r="X25" s="53"/>
      <c r="Y25" s="53"/>
      <c r="Z25" s="53"/>
      <c r="AA25" s="53"/>
      <c r="AB25" s="22"/>
      <c r="AC25" s="22"/>
      <c r="AD25" s="22"/>
      <c r="AE25" s="22"/>
      <c r="AF25" s="22"/>
      <c r="AG25" s="22"/>
      <c r="AH25" s="22"/>
      <c r="AI25" s="22"/>
      <c r="AJ25" s="22"/>
      <c r="AK25" s="22"/>
      <c r="AL25" s="22"/>
    </row>
    <row r="26" spans="1:38" ht="15.75" customHeight="1">
      <c r="A26" s="39" t="s">
        <v>35</v>
      </c>
      <c r="B26" s="40" t="s">
        <v>103</v>
      </c>
      <c r="C26" s="41" t="s">
        <v>104</v>
      </c>
      <c r="D26" s="42"/>
      <c r="E26" s="43" t="str">
        <f t="shared" si="0"/>
        <v xml:space="preserve">unionname
</v>
      </c>
      <c r="F26" s="44"/>
      <c r="G26" s="45"/>
      <c r="H26" s="45"/>
      <c r="I26" s="46"/>
      <c r="J26" s="46"/>
      <c r="K26" s="46"/>
      <c r="L26" s="44"/>
      <c r="M26" s="45"/>
      <c r="N26" s="45"/>
      <c r="O26" s="45"/>
      <c r="P26" s="45"/>
      <c r="Q26" s="44"/>
      <c r="R26" s="47" t="s">
        <v>105</v>
      </c>
      <c r="S26" s="45"/>
      <c r="T26" s="45"/>
      <c r="U26" s="45"/>
      <c r="V26" s="45"/>
      <c r="W26" s="45"/>
      <c r="X26" s="45"/>
      <c r="Y26" s="45"/>
      <c r="Z26" s="45"/>
      <c r="AA26" s="45"/>
      <c r="AB26" s="22"/>
      <c r="AC26" s="22"/>
      <c r="AD26" s="22"/>
      <c r="AE26" s="22"/>
      <c r="AF26" s="22"/>
      <c r="AG26" s="22"/>
      <c r="AH26" s="22"/>
      <c r="AI26" s="22"/>
      <c r="AJ26" s="22"/>
      <c r="AK26" s="22"/>
      <c r="AL26" s="22"/>
    </row>
    <row r="27" spans="1:38" ht="15.75" customHeight="1">
      <c r="A27" s="63" t="s">
        <v>106</v>
      </c>
      <c r="B27" s="64" t="s">
        <v>107</v>
      </c>
      <c r="C27" s="65" t="s">
        <v>108</v>
      </c>
      <c r="D27" s="65" t="s">
        <v>109</v>
      </c>
      <c r="E27" s="52" t="str">
        <f t="shared" si="0"/>
        <v>a1mouza
মৌজা</v>
      </c>
      <c r="F27" s="53"/>
      <c r="G27" s="53"/>
      <c r="H27" s="53"/>
      <c r="I27" s="66" t="s">
        <v>110</v>
      </c>
      <c r="J27" s="53"/>
      <c r="K27" s="53"/>
      <c r="L27" s="53"/>
      <c r="M27" s="54"/>
      <c r="N27" s="53"/>
      <c r="O27" s="38" t="s">
        <v>54</v>
      </c>
      <c r="P27" s="53"/>
      <c r="Q27" s="53"/>
      <c r="R27" s="53"/>
      <c r="S27" s="53"/>
      <c r="T27" s="53"/>
      <c r="U27" s="53"/>
      <c r="V27" s="53"/>
      <c r="W27" s="53"/>
      <c r="X27" s="53"/>
      <c r="Y27" s="53"/>
      <c r="Z27" s="53"/>
      <c r="AA27" s="53"/>
      <c r="AB27" s="22"/>
      <c r="AC27" s="22"/>
      <c r="AD27" s="22"/>
      <c r="AE27" s="22"/>
      <c r="AF27" s="22"/>
      <c r="AG27" s="22"/>
      <c r="AH27" s="22"/>
      <c r="AI27" s="22"/>
      <c r="AJ27" s="22"/>
      <c r="AK27" s="22"/>
      <c r="AL27" s="22"/>
    </row>
    <row r="28" spans="1:38" ht="15.75" customHeight="1">
      <c r="A28" s="39" t="s">
        <v>35</v>
      </c>
      <c r="B28" s="40" t="s">
        <v>111</v>
      </c>
      <c r="C28" s="41" t="s">
        <v>112</v>
      </c>
      <c r="D28" s="42"/>
      <c r="E28" s="43" t="str">
        <f t="shared" si="0"/>
        <v xml:space="preserve">mouzaname
</v>
      </c>
      <c r="F28" s="44"/>
      <c r="G28" s="45"/>
      <c r="H28" s="45"/>
      <c r="I28" s="46"/>
      <c r="J28" s="46"/>
      <c r="K28" s="46"/>
      <c r="L28" s="44"/>
      <c r="M28" s="45"/>
      <c r="N28" s="45"/>
      <c r="O28" s="45"/>
      <c r="P28" s="45"/>
      <c r="Q28" s="44"/>
      <c r="R28" s="47" t="s">
        <v>113</v>
      </c>
      <c r="S28" s="45"/>
      <c r="T28" s="45"/>
      <c r="U28" s="45"/>
      <c r="V28" s="45"/>
      <c r="W28" s="45"/>
      <c r="X28" s="45"/>
      <c r="Y28" s="45"/>
      <c r="Z28" s="45"/>
      <c r="AA28" s="45"/>
      <c r="AB28" s="22"/>
      <c r="AC28" s="22"/>
      <c r="AD28" s="22"/>
      <c r="AE28" s="22"/>
      <c r="AF28" s="22"/>
      <c r="AG28" s="22"/>
      <c r="AH28" s="22"/>
      <c r="AI28" s="22"/>
      <c r="AJ28" s="22"/>
      <c r="AK28" s="22"/>
      <c r="AL28" s="22"/>
    </row>
    <row r="29" spans="1:38" ht="15.75" customHeight="1">
      <c r="A29" s="63" t="s">
        <v>114</v>
      </c>
      <c r="B29" s="64" t="s">
        <v>115</v>
      </c>
      <c r="C29" s="65" t="s">
        <v>116</v>
      </c>
      <c r="D29" s="61" t="s">
        <v>117</v>
      </c>
      <c r="E29" s="52" t="str">
        <f t="shared" si="0"/>
        <v>a1village
গ্রাম</v>
      </c>
      <c r="F29" s="53"/>
      <c r="G29" s="53"/>
      <c r="H29" s="53"/>
      <c r="I29" s="66" t="s">
        <v>118</v>
      </c>
      <c r="J29" s="53"/>
      <c r="K29" s="53"/>
      <c r="L29" s="53"/>
      <c r="M29" s="54"/>
      <c r="N29" s="53"/>
      <c r="O29" s="38" t="s">
        <v>54</v>
      </c>
      <c r="P29" s="53"/>
      <c r="Q29" s="53"/>
      <c r="R29" s="53"/>
      <c r="S29" s="53"/>
      <c r="T29" s="53"/>
      <c r="U29" s="53"/>
      <c r="V29" s="53"/>
      <c r="W29" s="53"/>
      <c r="X29" s="53"/>
      <c r="Y29" s="53"/>
      <c r="Z29" s="53"/>
      <c r="AA29" s="53"/>
      <c r="AB29" s="22"/>
      <c r="AC29" s="22"/>
      <c r="AD29" s="22"/>
      <c r="AE29" s="22"/>
      <c r="AF29" s="22"/>
      <c r="AG29" s="22"/>
      <c r="AH29" s="22"/>
      <c r="AI29" s="22"/>
      <c r="AJ29" s="22"/>
      <c r="AK29" s="22"/>
      <c r="AL29" s="22"/>
    </row>
    <row r="30" spans="1:38" ht="15.75" customHeight="1">
      <c r="A30" s="39" t="s">
        <v>35</v>
      </c>
      <c r="B30" s="40" t="s">
        <v>119</v>
      </c>
      <c r="C30" s="41" t="s">
        <v>120</v>
      </c>
      <c r="D30" s="42"/>
      <c r="E30" s="43" t="str">
        <f t="shared" si="0"/>
        <v xml:space="preserve">villagename
</v>
      </c>
      <c r="F30" s="44"/>
      <c r="G30" s="45"/>
      <c r="H30" s="45"/>
      <c r="I30" s="46"/>
      <c r="J30" s="46"/>
      <c r="K30" s="46"/>
      <c r="L30" s="46"/>
      <c r="M30" s="44"/>
      <c r="N30" s="45"/>
      <c r="O30" s="45"/>
      <c r="P30" s="45"/>
      <c r="Q30" s="46"/>
      <c r="R30" s="47" t="s">
        <v>121</v>
      </c>
      <c r="S30" s="45"/>
      <c r="T30" s="45"/>
      <c r="U30" s="45"/>
      <c r="V30" s="45"/>
      <c r="W30" s="45"/>
      <c r="X30" s="45"/>
      <c r="Y30" s="45"/>
      <c r="Z30" s="45"/>
      <c r="AA30" s="45"/>
      <c r="AB30" s="22"/>
      <c r="AC30" s="22"/>
      <c r="AD30" s="22"/>
      <c r="AE30" s="22"/>
      <c r="AF30" s="22"/>
      <c r="AG30" s="22"/>
      <c r="AH30" s="22"/>
      <c r="AI30" s="22"/>
      <c r="AJ30" s="22"/>
      <c r="AK30" s="22"/>
      <c r="AL30" s="22"/>
    </row>
    <row r="31" spans="1:38" ht="15.75" customHeight="1">
      <c r="A31" s="39" t="s">
        <v>122</v>
      </c>
      <c r="B31" s="40" t="s">
        <v>123</v>
      </c>
      <c r="C31" s="43" t="s">
        <v>124</v>
      </c>
      <c r="D31" s="67" t="s">
        <v>125</v>
      </c>
      <c r="E31" s="43" t="str">
        <f t="shared" si="0"/>
        <v xml:space="preserve">a1village_pop
2024* সালে গ্রামের লোক সংখ্যা </v>
      </c>
      <c r="F31" s="68" t="s">
        <v>126</v>
      </c>
      <c r="G31" s="69" t="s">
        <v>127</v>
      </c>
      <c r="H31" s="69"/>
      <c r="I31" s="70"/>
      <c r="J31" s="71" t="s">
        <v>128</v>
      </c>
      <c r="K31" s="8"/>
      <c r="L31" s="72" t="s">
        <v>129</v>
      </c>
      <c r="M31" s="68"/>
      <c r="N31" s="69"/>
      <c r="O31" s="38" t="s">
        <v>54</v>
      </c>
      <c r="P31" s="69"/>
      <c r="Q31" s="68"/>
      <c r="R31" s="47"/>
      <c r="S31" s="73"/>
      <c r="T31" s="73"/>
      <c r="U31" s="69"/>
      <c r="V31" s="69"/>
      <c r="W31" s="69"/>
      <c r="X31" s="69"/>
      <c r="Y31" s="69"/>
      <c r="Z31" s="69"/>
      <c r="AA31" s="69"/>
      <c r="AB31" s="11"/>
      <c r="AC31" s="11"/>
      <c r="AD31" s="11"/>
      <c r="AE31" s="11"/>
      <c r="AF31" s="11"/>
      <c r="AG31" s="22"/>
      <c r="AH31" s="22"/>
      <c r="AI31" s="22"/>
      <c r="AJ31" s="22"/>
      <c r="AK31" s="22"/>
      <c r="AL31" s="22"/>
    </row>
    <row r="32" spans="1:38" ht="15.75" customHeight="1">
      <c r="A32" s="39" t="s">
        <v>122</v>
      </c>
      <c r="B32" s="40" t="s">
        <v>130</v>
      </c>
      <c r="C32" s="74" t="s">
        <v>131</v>
      </c>
      <c r="D32" s="75" t="s">
        <v>132</v>
      </c>
      <c r="E32" s="43" t="str">
        <f t="shared" si="0"/>
        <v>a1num_hh
গ্রামে খানার সংখ্যা</v>
      </c>
      <c r="F32" s="68"/>
      <c r="G32" s="69"/>
      <c r="H32" s="69"/>
      <c r="I32" s="70"/>
      <c r="J32" s="71" t="s">
        <v>128</v>
      </c>
      <c r="K32" s="8"/>
      <c r="L32" s="72" t="s">
        <v>129</v>
      </c>
      <c r="M32" s="68"/>
      <c r="N32" s="69"/>
      <c r="O32" s="38" t="s">
        <v>54</v>
      </c>
      <c r="P32" s="69"/>
      <c r="Q32" s="68"/>
      <c r="R32" s="47"/>
      <c r="S32" s="73"/>
      <c r="T32" s="73"/>
      <c r="U32" s="69"/>
      <c r="V32" s="69"/>
      <c r="W32" s="69"/>
      <c r="X32" s="69"/>
      <c r="Y32" s="69"/>
      <c r="Z32" s="69"/>
      <c r="AA32" s="69"/>
      <c r="AB32" s="11"/>
      <c r="AC32" s="11"/>
      <c r="AD32" s="11"/>
      <c r="AE32" s="11"/>
      <c r="AF32" s="11"/>
      <c r="AG32" s="22"/>
      <c r="AH32" s="22"/>
      <c r="AI32" s="22"/>
      <c r="AJ32" s="22"/>
      <c r="AK32" s="22"/>
      <c r="AL32" s="22"/>
    </row>
    <row r="33" spans="1:38" ht="15.75" customHeight="1">
      <c r="A33" s="76" t="s">
        <v>23</v>
      </c>
      <c r="B33" s="77" t="s">
        <v>133</v>
      </c>
      <c r="C33" s="78" t="s">
        <v>134</v>
      </c>
      <c r="D33" s="79" t="s">
        <v>135</v>
      </c>
      <c r="E33" s="80" t="str">
        <f t="shared" si="0"/>
        <v>consent_note
অবহিত সম্মতি পত্র &lt;br&gt;
আমার নাম …. । আমি ডাটা এ্যানালাইসিস এন্ড টেকনিক্যাল এ্যাসিষ্ট্যান্স লিমিটেড (DATA) নামক ঢাকা ভিত্তিক একটি গবেষণা/জরিপ প্রতিষ্ঠানে কাজ করি, আজ আমার সাথে কথা বলার জন্য আপনাকে ধন্যবাদ। &lt;br&gt;
2018-2019 সালে BIHS (Bangladesh Integrated Household Survey) নামে একটি জরিপে আপনি অংশগ্রহণ করেছিলেন সেই জরিপেরই আরও একটি রাউন্ড পরিচালনা করার জন্য  আমরা স্ট্যান্ডিং প্যানেল ফর ইমপ্যাক্ট অ্যাসেসমেন্ট (SPIA), Tufts University (USA) এবং আর্ন্তজাতিক খাদ্যনীতি গবেষণা সংস্থা (IFPRI) এর সাথে যৌথভাবে এই জরিপটি পরিচালনা করছি। এই জরিপটি Tufts University, SPIA এবং আর্ন্তজাতিক খাদ্যনীতি গবেষণা সংস্থা (IFPRI) এর গবেষকদের গবেষণা চালাতে প্রয়োজনীয় তথ্য সরবরাহ করবে যা বাংলাদেশিদের কল্যাণে সাহায্য করার জন্য প্রনীত হয়েছে; বিশেষ করে, কৃষি উন্নয়ন, জনগনের খাদ্য ভোগ এবং পুষ্টির অবস্থার উন্নয়ন এর লক্ষ্য নিয়ে প্রণয়ন করা হয়েছে। &lt;br&gt;
 এই গবেষণা/জরিপের সাথে সম্পর্কিত:  &lt;br&gt;
- আপনার গ্রামের অবকাঠামো, কৃষি পদ্ধতি, বীজ এবং মাছের ব্যবসা সংক্রান্ত তথ্য এবং সামাজিক নিরাপত্তা কর্মসূচির সুযোগ (অ্যাক্সেস) সংক্রান্ত সমস্ত তথ্য সংগ্রহ করার জন্য আপনার এই ইন্টারভিউ নিতে আনুমানিক 2 ঘন্টা সময় লাগবে। &lt;br&gt;
এই গবেষণা/জরিপে অংশগ্রহণের জন্য, আপনার বয়স কমপক্ষে ১৮ বছর হতে হবে। আপনি কি এই জরিপে অংশগ্রহণ করতে করতে চান? &lt;br&gt;
আপনার কোন প্রশ্ন থাকলে আপনি কার সাথে কথা বলবেন?&lt;br&gt;
আপনার যদি জরিপ-সম্পর্কিত কোন প্রশ্ন, উদ্বেগ থাকে বা কোনো গবেষণা-সম্পর্কিত আঘাত বোধ করেন, এই গবেষণার সাথে জড়িত নিচে উল্লেখিত ব্যক্তিদের সাথে যোগাযোগ করুন: &lt;br&gt;
Kyle Emerick &lt;br&gt;
+1 (617) 627-6972 &lt;br&gt;
Kyle.emerick@tufts.edu &lt;br&gt;
 Akhter Ahmed &lt;br&gt;
+880 1760-744-486 &lt;br&gt;
a.ahmed@cgiar.org &lt;br&gt;
বাংলাদেশের মধ্যে, আপনি বাংলাদেশ কৃষি বিশ্ববিদ্যালয়ে মোঃ ফুয়াদ হাসানের সাথে যোগাযোগ করতে পারেন। তার যোগাযোগের বিবরণ হল:&lt;br&gt;
Md. Fuad Hasan &lt;br&gt;
+880 17 8268 2803 &lt;br&gt;
f.hassan@cgiar.org &lt;br&gt;</v>
      </c>
      <c r="F33" s="81"/>
      <c r="G33" s="82"/>
      <c r="H33" s="82"/>
      <c r="I33" s="7"/>
      <c r="J33" s="81"/>
      <c r="K33" s="82"/>
      <c r="L33" s="82"/>
      <c r="M33" s="82"/>
      <c r="N33" s="82"/>
      <c r="O33" s="82"/>
      <c r="P33" s="82"/>
      <c r="Q33" s="81"/>
      <c r="R33" s="83"/>
      <c r="S33" s="84"/>
      <c r="T33" s="84"/>
      <c r="U33" s="82"/>
      <c r="V33" s="82"/>
      <c r="W33" s="82"/>
      <c r="X33" s="82"/>
      <c r="Y33" s="82"/>
      <c r="Z33" s="82"/>
      <c r="AA33" s="82"/>
      <c r="AB33" s="11"/>
      <c r="AC33" s="11"/>
      <c r="AD33" s="11"/>
      <c r="AE33" s="11"/>
      <c r="AF33" s="11"/>
      <c r="AG33" s="22"/>
      <c r="AH33" s="22"/>
      <c r="AI33" s="22"/>
      <c r="AJ33" s="22"/>
      <c r="AK33" s="22"/>
      <c r="AL33" s="22"/>
    </row>
    <row r="34" spans="1:38" ht="33" customHeight="1">
      <c r="A34" s="7" t="s">
        <v>122</v>
      </c>
      <c r="B34" s="8" t="s">
        <v>136</v>
      </c>
      <c r="C34" s="9" t="s">
        <v>137</v>
      </c>
      <c r="D34" s="85" t="s">
        <v>138</v>
      </c>
      <c r="E34" s="80" t="str">
        <f t="shared" si="0"/>
        <v>num_respondent
উত্তরদাতাদের সংখ্যা কত</v>
      </c>
      <c r="F34" s="86"/>
      <c r="G34" s="8"/>
      <c r="H34" s="8"/>
      <c r="I34" s="7"/>
      <c r="J34" s="71" t="s">
        <v>128</v>
      </c>
      <c r="K34" s="8"/>
      <c r="L34" s="72" t="s">
        <v>129</v>
      </c>
      <c r="M34" s="8"/>
      <c r="N34" s="8"/>
      <c r="O34" s="38" t="s">
        <v>54</v>
      </c>
      <c r="P34" s="8"/>
      <c r="Q34" s="8"/>
      <c r="R34" s="8"/>
      <c r="S34" s="8"/>
      <c r="T34" s="8"/>
      <c r="U34" s="8"/>
      <c r="V34" s="8"/>
      <c r="W34" s="8"/>
      <c r="X34" s="8"/>
      <c r="Y34" s="8"/>
      <c r="Z34" s="8"/>
      <c r="AA34" s="8"/>
      <c r="AB34" s="11"/>
      <c r="AC34" s="11"/>
      <c r="AD34" s="11"/>
      <c r="AE34" s="11"/>
      <c r="AF34" s="11"/>
      <c r="AG34" s="11"/>
      <c r="AH34" s="11"/>
      <c r="AI34" s="11"/>
      <c r="AJ34" s="11"/>
      <c r="AK34" s="11"/>
      <c r="AL34" s="11"/>
    </row>
    <row r="35" spans="1:38" ht="15.75" customHeight="1">
      <c r="A35" s="7" t="s">
        <v>139</v>
      </c>
      <c r="B35" s="8" t="s">
        <v>140</v>
      </c>
      <c r="C35" s="9" t="s">
        <v>141</v>
      </c>
      <c r="D35" s="87" t="s">
        <v>142</v>
      </c>
      <c r="E35" s="80" t="str">
        <f t="shared" si="0"/>
        <v>module_a2
Module A2: উত্তরদাতার পরিচিতি:</v>
      </c>
      <c r="F35" s="86"/>
      <c r="G35" s="8"/>
      <c r="H35" s="8"/>
      <c r="I35" s="7"/>
      <c r="J35" s="8"/>
      <c r="K35" s="8"/>
      <c r="L35" s="8"/>
      <c r="M35" s="8"/>
      <c r="N35" s="8"/>
      <c r="O35" s="8"/>
      <c r="P35" s="8"/>
      <c r="Q35" s="8"/>
      <c r="R35" s="8"/>
      <c r="S35" s="8" t="s">
        <v>143</v>
      </c>
      <c r="T35" s="8"/>
      <c r="U35" s="8"/>
      <c r="V35" s="8"/>
      <c r="W35" s="8"/>
      <c r="X35" s="8"/>
      <c r="Y35" s="8"/>
      <c r="Z35" s="8"/>
      <c r="AA35" s="8"/>
      <c r="AB35" s="11"/>
      <c r="AC35" s="11"/>
      <c r="AD35" s="11"/>
      <c r="AE35" s="11"/>
      <c r="AF35" s="11"/>
      <c r="AG35" s="11"/>
      <c r="AH35" s="11"/>
      <c r="AI35" s="11"/>
      <c r="AJ35" s="11"/>
      <c r="AK35" s="11"/>
      <c r="AL35" s="11"/>
    </row>
    <row r="36" spans="1:38" ht="36" customHeight="1">
      <c r="A36" s="7" t="s">
        <v>144</v>
      </c>
      <c r="B36" s="8" t="s">
        <v>145</v>
      </c>
      <c r="C36" s="9" t="s">
        <v>146</v>
      </c>
      <c r="D36" s="85" t="s">
        <v>147</v>
      </c>
      <c r="E36" s="80" t="str">
        <f t="shared" si="0"/>
        <v>a2resp_name
উত্তরদাতাদের নাম</v>
      </c>
      <c r="F36" s="86"/>
      <c r="G36" s="8"/>
      <c r="H36" s="8"/>
      <c r="I36" s="7"/>
      <c r="J36" s="8"/>
      <c r="K36" s="8"/>
      <c r="L36" s="8"/>
      <c r="M36" s="8"/>
      <c r="N36" s="8"/>
      <c r="O36" s="38" t="s">
        <v>54</v>
      </c>
      <c r="P36" s="8"/>
      <c r="Q36" s="8"/>
      <c r="R36" s="8"/>
      <c r="S36" s="8"/>
      <c r="T36" s="8"/>
      <c r="U36" s="8"/>
      <c r="V36" s="8"/>
      <c r="W36" s="8"/>
      <c r="X36" s="8"/>
      <c r="Y36" s="8"/>
      <c r="Z36" s="8"/>
      <c r="AA36" s="8"/>
      <c r="AB36" s="11"/>
      <c r="AC36" s="11"/>
      <c r="AD36" s="11"/>
      <c r="AE36" s="11"/>
      <c r="AF36" s="11"/>
      <c r="AG36" s="11"/>
      <c r="AH36" s="11"/>
      <c r="AI36" s="11"/>
      <c r="AJ36" s="11"/>
      <c r="AK36" s="11"/>
      <c r="AL36" s="11"/>
    </row>
    <row r="37" spans="1:38" ht="24" customHeight="1">
      <c r="A37" s="29" t="s">
        <v>148</v>
      </c>
      <c r="B37" s="30" t="s">
        <v>149</v>
      </c>
      <c r="C37" s="31" t="s">
        <v>150</v>
      </c>
      <c r="D37" s="88" t="s">
        <v>151</v>
      </c>
      <c r="E37" s="33" t="str">
        <f t="shared" si="0"/>
        <v xml:space="preserve">a2consent
আপনি কি এই জরিপে অংশগ্রহণ করতে সম্মত আছেন (অংশগ্রহণ করতে চান)?  </v>
      </c>
      <c r="F37" s="89"/>
      <c r="G37" s="35"/>
      <c r="H37" s="35"/>
      <c r="I37" s="90"/>
      <c r="J37" s="35"/>
      <c r="K37" s="35"/>
      <c r="L37" s="35"/>
      <c r="M37" s="35"/>
      <c r="N37" s="35"/>
      <c r="O37" s="38" t="s">
        <v>54</v>
      </c>
      <c r="P37" s="35"/>
      <c r="Q37" s="35"/>
      <c r="R37" s="35"/>
      <c r="S37" s="35"/>
      <c r="T37" s="35"/>
      <c r="U37" s="35"/>
      <c r="V37" s="35"/>
      <c r="W37" s="35"/>
      <c r="X37" s="35"/>
      <c r="Y37" s="35"/>
      <c r="Z37" s="35"/>
      <c r="AA37" s="35"/>
      <c r="AB37" s="22"/>
      <c r="AC37" s="22"/>
      <c r="AD37" s="22"/>
      <c r="AE37" s="22"/>
      <c r="AF37" s="22"/>
      <c r="AG37" s="22"/>
      <c r="AH37" s="22"/>
      <c r="AI37" s="22"/>
      <c r="AJ37" s="22"/>
      <c r="AK37" s="22"/>
      <c r="AL37" s="22"/>
    </row>
    <row r="38" spans="1:38" ht="24" customHeight="1">
      <c r="A38" s="7" t="s">
        <v>152</v>
      </c>
      <c r="B38" s="8" t="s">
        <v>153</v>
      </c>
      <c r="C38" s="9" t="s">
        <v>154</v>
      </c>
      <c r="D38" s="85" t="s">
        <v>155</v>
      </c>
      <c r="E38" s="33" t="str">
        <f t="shared" si="0"/>
        <v>a2gender
উত্তরদাতার লিঙ্গ</v>
      </c>
      <c r="F38" s="86"/>
      <c r="G38" s="8"/>
      <c r="H38" s="8"/>
      <c r="I38" s="7"/>
      <c r="J38" s="8"/>
      <c r="K38" s="8"/>
      <c r="L38" s="8"/>
      <c r="M38" s="91" t="s">
        <v>156</v>
      </c>
      <c r="N38" s="8"/>
      <c r="O38" s="38" t="s">
        <v>54</v>
      </c>
      <c r="P38" s="8"/>
      <c r="Q38" s="8"/>
      <c r="R38" s="8"/>
      <c r="S38" s="8"/>
      <c r="T38" s="8"/>
      <c r="U38" s="8"/>
      <c r="V38" s="8"/>
      <c r="W38" s="8"/>
      <c r="X38" s="8"/>
      <c r="Y38" s="8"/>
      <c r="Z38" s="8"/>
      <c r="AA38" s="8"/>
      <c r="AB38" s="11"/>
      <c r="AC38" s="11"/>
      <c r="AD38" s="11"/>
      <c r="AE38" s="11"/>
      <c r="AF38" s="11"/>
      <c r="AG38" s="11"/>
      <c r="AH38" s="11"/>
      <c r="AI38" s="11"/>
      <c r="AJ38" s="11"/>
      <c r="AK38" s="11"/>
      <c r="AL38" s="11"/>
    </row>
    <row r="39" spans="1:38" ht="24" customHeight="1">
      <c r="A39" s="7" t="s">
        <v>122</v>
      </c>
      <c r="B39" s="8" t="s">
        <v>157</v>
      </c>
      <c r="C39" s="9" t="s">
        <v>158</v>
      </c>
      <c r="D39" s="85" t="s">
        <v>159</v>
      </c>
      <c r="E39" s="33" t="str">
        <f t="shared" si="0"/>
        <v xml:space="preserve">a2age
উত্তরদাতার বয়স (বছর) 
</v>
      </c>
      <c r="F39" s="86"/>
      <c r="G39" s="8"/>
      <c r="H39" s="8"/>
      <c r="I39" s="7"/>
      <c r="J39" s="92" t="s">
        <v>160</v>
      </c>
      <c r="K39" s="8"/>
      <c r="L39" s="72" t="s">
        <v>161</v>
      </c>
      <c r="M39" s="91" t="s">
        <v>156</v>
      </c>
      <c r="N39" s="8"/>
      <c r="O39" s="38" t="s">
        <v>54</v>
      </c>
      <c r="P39" s="8"/>
      <c r="Q39" s="8"/>
      <c r="R39" s="8"/>
      <c r="S39" s="8"/>
      <c r="T39" s="8"/>
      <c r="U39" s="8"/>
      <c r="V39" s="8"/>
      <c r="W39" s="8"/>
      <c r="X39" s="8"/>
      <c r="Y39" s="8"/>
      <c r="Z39" s="8"/>
      <c r="AA39" s="8"/>
      <c r="AB39" s="11"/>
      <c r="AC39" s="11"/>
      <c r="AD39" s="11"/>
      <c r="AE39" s="11"/>
      <c r="AF39" s="11"/>
      <c r="AG39" s="11"/>
      <c r="AH39" s="11"/>
      <c r="AI39" s="11"/>
      <c r="AJ39" s="11"/>
      <c r="AK39" s="11"/>
      <c r="AL39" s="11"/>
    </row>
    <row r="40" spans="1:38" ht="46.5" customHeight="1">
      <c r="A40" s="7" t="s">
        <v>162</v>
      </c>
      <c r="B40" s="8" t="s">
        <v>163</v>
      </c>
      <c r="C40" s="9" t="s">
        <v>164</v>
      </c>
      <c r="D40" s="93" t="s">
        <v>165</v>
      </c>
      <c r="E40" s="33" t="str">
        <f t="shared" si="0"/>
        <v>a2occupation
উত্তরদাতার পেশা</v>
      </c>
      <c r="F40" s="8"/>
      <c r="G40" s="94"/>
      <c r="H40" s="8"/>
      <c r="I40" s="7"/>
      <c r="J40" s="8"/>
      <c r="K40" s="8"/>
      <c r="L40" s="8"/>
      <c r="M40" s="91" t="s">
        <v>156</v>
      </c>
      <c r="N40" s="8"/>
      <c r="O40" s="38" t="s">
        <v>54</v>
      </c>
      <c r="P40" s="8"/>
      <c r="Q40" s="8"/>
      <c r="R40" s="8"/>
      <c r="S40" s="8"/>
      <c r="T40" s="8"/>
      <c r="U40" s="8"/>
      <c r="V40" s="8"/>
      <c r="W40" s="8"/>
      <c r="X40" s="8"/>
      <c r="Y40" s="8"/>
      <c r="Z40" s="8"/>
      <c r="AA40" s="8"/>
      <c r="AB40" s="11"/>
      <c r="AC40" s="11"/>
      <c r="AD40" s="11"/>
      <c r="AE40" s="11"/>
      <c r="AF40" s="11"/>
      <c r="AG40" s="11"/>
      <c r="AH40" s="11"/>
      <c r="AI40" s="11"/>
      <c r="AJ40" s="11"/>
      <c r="AK40" s="11"/>
      <c r="AL40" s="11"/>
    </row>
    <row r="41" spans="1:38" ht="24" customHeight="1">
      <c r="A41" s="7" t="s">
        <v>144</v>
      </c>
      <c r="B41" s="8" t="s">
        <v>166</v>
      </c>
      <c r="C41" s="10" t="s">
        <v>167</v>
      </c>
      <c r="D41" s="95" t="s">
        <v>168</v>
      </c>
      <c r="E41" s="33" t="str">
        <f t="shared" si="0"/>
        <v>a2occupation_oth
অন্যান্য(উল্লেখ করুন)</v>
      </c>
      <c r="F41" s="86"/>
      <c r="G41" s="8"/>
      <c r="H41" s="8"/>
      <c r="I41" s="7"/>
      <c r="J41" s="8"/>
      <c r="K41" s="8"/>
      <c r="L41" s="8"/>
      <c r="M41" s="8" t="s">
        <v>169</v>
      </c>
      <c r="N41" s="8"/>
      <c r="O41" s="38" t="s">
        <v>54</v>
      </c>
      <c r="P41" s="8"/>
      <c r="Q41" s="8"/>
      <c r="R41" s="8"/>
      <c r="S41" s="8"/>
      <c r="T41" s="8"/>
      <c r="U41" s="8"/>
      <c r="V41" s="8"/>
      <c r="W41" s="8"/>
      <c r="X41" s="8"/>
      <c r="Y41" s="8"/>
      <c r="Z41" s="8"/>
      <c r="AA41" s="8"/>
      <c r="AB41" s="11"/>
      <c r="AC41" s="11"/>
      <c r="AD41" s="11"/>
      <c r="AE41" s="11"/>
      <c r="AF41" s="11"/>
      <c r="AG41" s="11"/>
      <c r="AH41" s="11"/>
      <c r="AI41" s="11"/>
      <c r="AJ41" s="11"/>
      <c r="AK41" s="11"/>
      <c r="AL41" s="11"/>
    </row>
    <row r="42" spans="1:38" ht="15.75" customHeight="1">
      <c r="A42" s="7" t="s">
        <v>144</v>
      </c>
      <c r="B42" s="8" t="s">
        <v>170</v>
      </c>
      <c r="C42" s="9" t="s">
        <v>171</v>
      </c>
      <c r="D42" s="85" t="s">
        <v>172</v>
      </c>
      <c r="E42" s="33" t="str">
        <f t="shared" si="0"/>
        <v>a2phone_num
ফোন নম্বর</v>
      </c>
      <c r="F42" s="96" t="s">
        <v>173</v>
      </c>
      <c r="G42" s="96" t="s">
        <v>174</v>
      </c>
      <c r="H42" s="8"/>
      <c r="I42" s="7"/>
      <c r="J42" s="97" t="s">
        <v>175</v>
      </c>
      <c r="K42" s="97" t="s">
        <v>176</v>
      </c>
      <c r="L42" s="97" t="s">
        <v>177</v>
      </c>
      <c r="M42" s="98"/>
      <c r="N42" s="97"/>
      <c r="O42" s="38" t="s">
        <v>54</v>
      </c>
      <c r="P42" s="97"/>
      <c r="Q42" s="8"/>
      <c r="R42" s="8"/>
      <c r="S42" s="8"/>
      <c r="T42" s="8"/>
      <c r="U42" s="8"/>
      <c r="V42" s="8"/>
      <c r="W42" s="8"/>
      <c r="X42" s="8"/>
      <c r="Y42" s="8"/>
      <c r="Z42" s="8"/>
      <c r="AA42" s="8"/>
      <c r="AB42" s="11"/>
      <c r="AC42" s="11"/>
      <c r="AD42" s="11"/>
      <c r="AE42" s="11"/>
      <c r="AF42" s="11"/>
      <c r="AG42" s="11"/>
      <c r="AH42" s="11"/>
      <c r="AI42" s="11"/>
      <c r="AJ42" s="11"/>
      <c r="AK42" s="11"/>
      <c r="AL42" s="11"/>
    </row>
    <row r="43" spans="1:38" ht="15.75" customHeight="1">
      <c r="A43" s="7" t="s">
        <v>178</v>
      </c>
      <c r="B43" s="8" t="s">
        <v>140</v>
      </c>
      <c r="C43" s="9" t="s">
        <v>141</v>
      </c>
      <c r="D43" s="87"/>
      <c r="E43" s="80" t="str">
        <f t="shared" si="0"/>
        <v xml:space="preserve">module_a2
</v>
      </c>
      <c r="F43" s="86"/>
      <c r="G43" s="8"/>
      <c r="H43" s="8"/>
      <c r="I43" s="7"/>
      <c r="J43" s="8"/>
      <c r="K43" s="8"/>
      <c r="L43" s="8"/>
      <c r="M43" s="8"/>
      <c r="N43" s="8"/>
      <c r="O43" s="8"/>
      <c r="P43" s="8"/>
      <c r="Q43" s="8"/>
      <c r="R43" s="8"/>
      <c r="S43" s="8"/>
      <c r="T43" s="8"/>
      <c r="U43" s="8"/>
      <c r="V43" s="8"/>
      <c r="W43" s="8"/>
      <c r="X43" s="8"/>
      <c r="Y43" s="8"/>
      <c r="Z43" s="8"/>
      <c r="AA43" s="8"/>
      <c r="AB43" s="11"/>
      <c r="AC43" s="11"/>
      <c r="AD43" s="11"/>
      <c r="AE43" s="11"/>
      <c r="AF43" s="11"/>
      <c r="AG43" s="11"/>
      <c r="AH43" s="11"/>
      <c r="AI43" s="11"/>
      <c r="AJ43" s="11"/>
      <c r="AK43" s="11"/>
      <c r="AL43" s="11"/>
    </row>
    <row r="44" spans="1:38" ht="24" customHeight="1">
      <c r="A44" s="7" t="s">
        <v>179</v>
      </c>
      <c r="B44" s="8" t="s">
        <v>180</v>
      </c>
      <c r="C44" s="9" t="s">
        <v>181</v>
      </c>
      <c r="D44" s="85" t="s">
        <v>182</v>
      </c>
      <c r="E44" s="80" t="str">
        <f t="shared" si="0"/>
        <v>b_service
গ্রামে নিচের কোন কোন সেবা পাওয়া যায়?</v>
      </c>
      <c r="F44" s="86"/>
      <c r="G44" s="8"/>
      <c r="H44" s="8"/>
      <c r="I44" s="7"/>
      <c r="J44" s="8"/>
      <c r="K44" s="8"/>
      <c r="L44" s="8"/>
      <c r="M44" s="8"/>
      <c r="N44" s="8"/>
      <c r="O44" s="38" t="s">
        <v>54</v>
      </c>
      <c r="P44" s="8"/>
      <c r="Q44" s="8"/>
      <c r="R44" s="8"/>
      <c r="S44" s="8"/>
      <c r="T44" s="8"/>
      <c r="U44" s="8"/>
      <c r="V44" s="8"/>
      <c r="W44" s="8"/>
      <c r="X44" s="8"/>
      <c r="Y44" s="8"/>
      <c r="Z44" s="8"/>
      <c r="AA44" s="8"/>
      <c r="AB44" s="11"/>
      <c r="AC44" s="11"/>
      <c r="AD44" s="11"/>
      <c r="AE44" s="11"/>
      <c r="AF44" s="11"/>
      <c r="AG44" s="11"/>
      <c r="AH44" s="11"/>
      <c r="AI44" s="11"/>
      <c r="AJ44" s="11"/>
      <c r="AK44" s="11"/>
      <c r="AL44" s="11"/>
    </row>
    <row r="45" spans="1:38" ht="24" customHeight="1">
      <c r="A45" s="99" t="s">
        <v>139</v>
      </c>
      <c r="B45" s="100" t="s">
        <v>183</v>
      </c>
      <c r="C45" s="9" t="s">
        <v>184</v>
      </c>
      <c r="D45" s="9" t="s">
        <v>184</v>
      </c>
      <c r="E45" s="101" t="str">
        <f t="shared" si="0"/>
        <v>b_service_repeat
Module B: Infrastructure and Access to Facilities</v>
      </c>
      <c r="F45" s="102"/>
      <c r="G45" s="102"/>
      <c r="H45" s="102"/>
      <c r="I45" s="102"/>
      <c r="J45" s="102"/>
      <c r="K45" s="102"/>
      <c r="L45" s="102"/>
      <c r="M45" s="100"/>
      <c r="N45" s="102"/>
      <c r="O45" s="102"/>
      <c r="P45" s="102"/>
      <c r="Q45" s="102"/>
      <c r="R45" s="103"/>
      <c r="S45" s="104" t="s">
        <v>185</v>
      </c>
      <c r="T45" s="102"/>
      <c r="U45" s="102"/>
      <c r="V45" s="102"/>
      <c r="W45" s="102"/>
      <c r="X45" s="102"/>
      <c r="Y45" s="102"/>
      <c r="Z45" s="102"/>
      <c r="AA45" s="102"/>
      <c r="AB45" s="22"/>
      <c r="AC45" s="22"/>
      <c r="AD45" s="22"/>
      <c r="AE45" s="22"/>
      <c r="AF45" s="22"/>
      <c r="AG45" s="22"/>
      <c r="AH45" s="22"/>
      <c r="AI45" s="22"/>
      <c r="AJ45" s="22"/>
      <c r="AK45" s="22"/>
      <c r="AL45" s="22"/>
    </row>
    <row r="46" spans="1:38" ht="24" customHeight="1">
      <c r="A46" s="105" t="s">
        <v>35</v>
      </c>
      <c r="B46" s="106" t="s">
        <v>186</v>
      </c>
      <c r="C46" s="107" t="s">
        <v>187</v>
      </c>
      <c r="D46" s="108"/>
      <c r="E46" s="101" t="str">
        <f t="shared" si="0"/>
        <v xml:space="preserve">b_service_index
</v>
      </c>
      <c r="F46" s="109"/>
      <c r="G46" s="109"/>
      <c r="H46" s="109"/>
      <c r="I46" s="109"/>
      <c r="J46" s="109"/>
      <c r="K46" s="109"/>
      <c r="L46" s="109"/>
      <c r="M46" s="109"/>
      <c r="N46" s="110"/>
      <c r="O46" s="109"/>
      <c r="P46" s="109"/>
      <c r="Q46" s="109"/>
      <c r="R46" s="106" t="s">
        <v>188</v>
      </c>
      <c r="S46" s="109"/>
      <c r="T46" s="109"/>
      <c r="U46" s="109"/>
      <c r="V46" s="109"/>
      <c r="W46" s="109"/>
      <c r="X46" s="22"/>
      <c r="Y46" s="22"/>
      <c r="Z46" s="111"/>
      <c r="AA46" s="45"/>
      <c r="AB46" s="22"/>
      <c r="AC46" s="22"/>
      <c r="AD46" s="22"/>
      <c r="AE46" s="22"/>
      <c r="AF46" s="22"/>
      <c r="AG46" s="22"/>
      <c r="AH46" s="22"/>
      <c r="AI46" s="22"/>
      <c r="AJ46" s="22"/>
      <c r="AK46" s="22"/>
      <c r="AL46" s="22"/>
    </row>
    <row r="47" spans="1:38" ht="24" customHeight="1">
      <c r="A47" s="112" t="s">
        <v>35</v>
      </c>
      <c r="B47" s="106" t="s">
        <v>189</v>
      </c>
      <c r="C47" s="107" t="s">
        <v>190</v>
      </c>
      <c r="D47" s="108"/>
      <c r="E47" s="101" t="str">
        <f t="shared" si="0"/>
        <v xml:space="preserve">b_service_id
</v>
      </c>
      <c r="F47" s="113"/>
      <c r="G47" s="113"/>
      <c r="H47" s="113"/>
      <c r="I47" s="113"/>
      <c r="J47" s="113"/>
      <c r="K47" s="113"/>
      <c r="L47" s="113"/>
      <c r="M47" s="113"/>
      <c r="N47" s="114"/>
      <c r="O47" s="113"/>
      <c r="P47" s="113"/>
      <c r="Q47" s="113"/>
      <c r="R47" s="110" t="s">
        <v>191</v>
      </c>
      <c r="S47" s="113"/>
      <c r="T47" s="113"/>
      <c r="U47" s="113"/>
      <c r="V47" s="113"/>
      <c r="W47" s="113"/>
      <c r="X47" s="22"/>
      <c r="Y47" s="22"/>
      <c r="Z47" s="22"/>
      <c r="AA47" s="45"/>
      <c r="AB47" s="22"/>
      <c r="AC47" s="22"/>
      <c r="AD47" s="22"/>
      <c r="AE47" s="22"/>
      <c r="AF47" s="22"/>
      <c r="AG47" s="22"/>
      <c r="AH47" s="22"/>
      <c r="AI47" s="22"/>
      <c r="AJ47" s="22"/>
      <c r="AK47" s="22"/>
      <c r="AL47" s="22"/>
    </row>
    <row r="48" spans="1:38" ht="24" customHeight="1">
      <c r="A48" s="112" t="s">
        <v>35</v>
      </c>
      <c r="B48" s="106" t="s">
        <v>192</v>
      </c>
      <c r="C48" s="115" t="s">
        <v>193</v>
      </c>
      <c r="D48" s="108"/>
      <c r="E48" s="101" t="str">
        <f t="shared" si="0"/>
        <v xml:space="preserve">b_service_name
</v>
      </c>
      <c r="F48" s="113"/>
      <c r="G48" s="113"/>
      <c r="H48" s="113"/>
      <c r="I48" s="113"/>
      <c r="J48" s="113"/>
      <c r="K48" s="113"/>
      <c r="L48" s="113"/>
      <c r="M48" s="113"/>
      <c r="N48" s="110"/>
      <c r="O48" s="113"/>
      <c r="P48" s="113"/>
      <c r="Q48" s="113"/>
      <c r="R48" s="110" t="s">
        <v>194</v>
      </c>
      <c r="S48" s="113"/>
      <c r="T48" s="113"/>
      <c r="U48" s="113"/>
      <c r="V48" s="113"/>
      <c r="W48" s="113"/>
      <c r="X48" s="22"/>
      <c r="Y48" s="22"/>
      <c r="Z48" s="22"/>
      <c r="AA48" s="45"/>
      <c r="AB48" s="22"/>
      <c r="AC48" s="22"/>
      <c r="AD48" s="22"/>
      <c r="AE48" s="22"/>
      <c r="AF48" s="22"/>
      <c r="AG48" s="22"/>
      <c r="AH48" s="22"/>
      <c r="AI48" s="22"/>
      <c r="AJ48" s="22"/>
      <c r="AK48" s="22"/>
      <c r="AL48" s="22"/>
    </row>
    <row r="49" spans="1:38" ht="25.5" customHeight="1">
      <c r="A49" s="7" t="s">
        <v>122</v>
      </c>
      <c r="B49" s="8" t="s">
        <v>195</v>
      </c>
      <c r="C49" s="74" t="s">
        <v>196</v>
      </c>
      <c r="D49" s="116" t="s">
        <v>197</v>
      </c>
      <c r="E49" s="101" t="str">
        <f t="shared" si="0"/>
        <v>b_n_service
কতটি</v>
      </c>
      <c r="F49" s="86" t="s">
        <v>198</v>
      </c>
      <c r="G49" s="86" t="s">
        <v>198</v>
      </c>
      <c r="H49" s="8"/>
      <c r="I49" s="7"/>
      <c r="J49" s="92" t="s">
        <v>199</v>
      </c>
      <c r="K49" s="8"/>
      <c r="L49" s="72" t="s">
        <v>200</v>
      </c>
      <c r="M49" s="8"/>
      <c r="N49" s="8"/>
      <c r="O49" s="38" t="s">
        <v>54</v>
      </c>
      <c r="P49" s="8"/>
      <c r="Q49" s="8"/>
      <c r="R49" s="8"/>
      <c r="S49" s="8"/>
      <c r="T49" s="8"/>
      <c r="U49" s="8"/>
      <c r="V49" s="8"/>
      <c r="W49" s="8"/>
      <c r="X49" s="8"/>
      <c r="Y49" s="8"/>
      <c r="Z49" s="8"/>
      <c r="AA49" s="8"/>
      <c r="AB49" s="11"/>
      <c r="AC49" s="11"/>
      <c r="AD49" s="11"/>
      <c r="AE49" s="11"/>
      <c r="AF49" s="11"/>
      <c r="AG49" s="11"/>
      <c r="AH49" s="11"/>
      <c r="AI49" s="11"/>
      <c r="AJ49" s="11"/>
      <c r="AK49" s="11"/>
      <c r="AL49" s="11"/>
    </row>
    <row r="50" spans="1:38" ht="25.5" customHeight="1">
      <c r="A50" s="7" t="s">
        <v>122</v>
      </c>
      <c r="B50" s="8" t="s">
        <v>201</v>
      </c>
      <c r="C50" s="74" t="s">
        <v>202</v>
      </c>
      <c r="D50" s="116" t="s">
        <v>203</v>
      </c>
      <c r="E50" s="101" t="str">
        <f t="shared" si="0"/>
        <v>b_service_year
এই সেবাটি আপনার গ্রামে কবে (কোন সালে) চালু হয়েছে?</v>
      </c>
      <c r="F50" s="86" t="s">
        <v>198</v>
      </c>
      <c r="G50" s="86" t="s">
        <v>198</v>
      </c>
      <c r="H50" s="8"/>
      <c r="I50" s="7"/>
      <c r="J50" s="117" t="s">
        <v>204</v>
      </c>
      <c r="K50" s="118" t="s">
        <v>205</v>
      </c>
      <c r="L50" s="119" t="s">
        <v>206</v>
      </c>
      <c r="M50" s="8"/>
      <c r="N50" s="8"/>
      <c r="O50" s="38" t="s">
        <v>54</v>
      </c>
      <c r="P50" s="8"/>
      <c r="Q50" s="8"/>
      <c r="R50" s="8"/>
      <c r="S50" s="8"/>
      <c r="T50" s="8"/>
      <c r="U50" s="8"/>
      <c r="V50" s="8"/>
      <c r="W50" s="8"/>
      <c r="X50" s="8"/>
      <c r="Y50" s="8"/>
      <c r="Z50" s="8"/>
      <c r="AA50" s="8"/>
      <c r="AB50" s="11"/>
      <c r="AC50" s="11"/>
      <c r="AD50" s="11"/>
      <c r="AE50" s="11"/>
      <c r="AF50" s="11"/>
      <c r="AG50" s="11"/>
      <c r="AH50" s="11"/>
      <c r="AI50" s="11"/>
      <c r="AJ50" s="11"/>
      <c r="AK50" s="11"/>
      <c r="AL50" s="11"/>
    </row>
    <row r="51" spans="1:38" ht="25.5" customHeight="1">
      <c r="A51" s="7" t="s">
        <v>144</v>
      </c>
      <c r="B51" s="12" t="s">
        <v>207</v>
      </c>
      <c r="C51" s="74" t="s">
        <v>208</v>
      </c>
      <c r="D51" s="120" t="s">
        <v>209</v>
      </c>
      <c r="E51" s="101" t="str">
        <f t="shared" si="0"/>
        <v>b_farm_sch_topic
কৃষক মাঠ স্কুলে কোন বিষয়গুলি কভার করা হয়?</v>
      </c>
      <c r="F51" s="86"/>
      <c r="G51" s="86"/>
      <c r="H51" s="12"/>
      <c r="I51" s="121"/>
      <c r="J51" s="117"/>
      <c r="K51" s="117"/>
      <c r="L51" s="119"/>
      <c r="M51" s="91" t="s">
        <v>210</v>
      </c>
      <c r="N51" s="12"/>
      <c r="O51" s="38" t="s">
        <v>54</v>
      </c>
      <c r="P51" s="12"/>
      <c r="Q51" s="12"/>
      <c r="R51" s="12"/>
      <c r="S51" s="12"/>
      <c r="T51" s="12"/>
      <c r="U51" s="12"/>
      <c r="V51" s="12"/>
      <c r="W51" s="12"/>
      <c r="X51" s="12"/>
      <c r="Y51" s="12"/>
      <c r="Z51" s="12"/>
      <c r="AA51" s="12"/>
      <c r="AB51" s="11"/>
      <c r="AC51" s="11"/>
      <c r="AD51" s="11"/>
      <c r="AE51" s="11"/>
      <c r="AF51" s="11"/>
      <c r="AG51" s="11"/>
      <c r="AH51" s="11"/>
      <c r="AI51" s="11"/>
      <c r="AJ51" s="11"/>
      <c r="AK51" s="11"/>
      <c r="AL51" s="11"/>
    </row>
    <row r="52" spans="1:38" ht="25.5" customHeight="1">
      <c r="A52" s="122" t="s">
        <v>211</v>
      </c>
      <c r="B52" s="123" t="s">
        <v>212</v>
      </c>
      <c r="C52" s="124" t="s">
        <v>213</v>
      </c>
      <c r="D52" s="116" t="s">
        <v>214</v>
      </c>
      <c r="E52" s="101" t="str">
        <f t="shared" si="0"/>
        <v>b_service_gps
গ্রামের এই সুবিধাটির GPS কো-অর্ডিনেটস</v>
      </c>
      <c r="F52" s="125" t="s">
        <v>215</v>
      </c>
      <c r="G52" s="126" t="s">
        <v>216</v>
      </c>
      <c r="H52" s="127"/>
      <c r="I52" s="127"/>
      <c r="J52" s="127"/>
      <c r="K52" s="127"/>
      <c r="L52" s="127"/>
      <c r="M52" s="91" t="s">
        <v>217</v>
      </c>
      <c r="N52" s="127"/>
      <c r="O52" s="38" t="s">
        <v>54</v>
      </c>
      <c r="P52" s="127"/>
      <c r="Q52" s="127"/>
      <c r="R52" s="127"/>
      <c r="S52" s="127"/>
      <c r="T52" s="127"/>
      <c r="U52" s="127"/>
      <c r="V52" s="127"/>
      <c r="W52" s="127"/>
      <c r="X52" s="127"/>
      <c r="Y52" s="127"/>
      <c r="Z52" s="127"/>
      <c r="AA52" s="127"/>
      <c r="AB52" s="22"/>
      <c r="AC52" s="22"/>
      <c r="AD52" s="22"/>
      <c r="AE52" s="22"/>
      <c r="AF52" s="22"/>
      <c r="AG52" s="22"/>
      <c r="AH52" s="22"/>
      <c r="AI52" s="22"/>
      <c r="AJ52" s="22"/>
      <c r="AK52" s="22"/>
      <c r="AL52" s="22"/>
    </row>
    <row r="53" spans="1:38" ht="24" customHeight="1">
      <c r="A53" s="99" t="s">
        <v>178</v>
      </c>
      <c r="B53" s="100" t="s">
        <v>183</v>
      </c>
      <c r="C53" s="9" t="s">
        <v>184</v>
      </c>
      <c r="D53" s="9" t="s">
        <v>184</v>
      </c>
      <c r="E53" s="101" t="str">
        <f t="shared" si="0"/>
        <v>b_service_repeat
Module B: Infrastructure and Access to Facilities</v>
      </c>
      <c r="F53" s="102"/>
      <c r="G53" s="102"/>
      <c r="H53" s="102"/>
      <c r="I53" s="102"/>
      <c r="J53" s="102"/>
      <c r="K53" s="102"/>
      <c r="L53" s="102"/>
      <c r="M53" s="100"/>
      <c r="N53" s="102"/>
      <c r="O53" s="102"/>
      <c r="P53" s="102"/>
      <c r="Q53" s="102"/>
      <c r="R53" s="103"/>
      <c r="S53" s="104"/>
      <c r="T53" s="102"/>
      <c r="U53" s="102"/>
      <c r="V53" s="102"/>
      <c r="W53" s="102"/>
      <c r="X53" s="102"/>
      <c r="Y53" s="102"/>
      <c r="Z53" s="102"/>
      <c r="AA53" s="102"/>
      <c r="AB53" s="22"/>
      <c r="AC53" s="22"/>
      <c r="AD53" s="22"/>
      <c r="AE53" s="22"/>
      <c r="AF53" s="22"/>
      <c r="AG53" s="22"/>
      <c r="AH53" s="22"/>
      <c r="AI53" s="22"/>
      <c r="AJ53" s="22"/>
      <c r="AK53" s="22"/>
      <c r="AL53" s="22"/>
    </row>
    <row r="54" spans="1:38" ht="25.5" customHeight="1">
      <c r="A54" s="7" t="s">
        <v>218</v>
      </c>
      <c r="B54" s="12" t="s">
        <v>219</v>
      </c>
      <c r="C54" s="74" t="s">
        <v>220</v>
      </c>
      <c r="D54" s="85" t="s">
        <v>221</v>
      </c>
      <c r="E54" s="101" t="str">
        <f t="shared" si="0"/>
        <v xml:space="preserve">mod_c
Module C: কৃষির চর্চা </v>
      </c>
      <c r="F54" s="86"/>
      <c r="G54" s="12"/>
      <c r="H54" s="12"/>
      <c r="I54" s="121"/>
      <c r="J54" s="12"/>
      <c r="K54" s="12"/>
      <c r="L54" s="12"/>
      <c r="M54" s="12"/>
      <c r="N54" s="12"/>
      <c r="O54" s="12"/>
      <c r="P54" s="12"/>
      <c r="Q54" s="12"/>
      <c r="R54" s="128"/>
      <c r="S54" s="129"/>
      <c r="T54" s="12"/>
      <c r="U54" s="12"/>
      <c r="V54" s="12"/>
      <c r="W54" s="12"/>
      <c r="X54" s="12"/>
      <c r="Y54" s="12"/>
      <c r="Z54" s="12"/>
      <c r="AA54" s="12"/>
      <c r="AB54" s="11"/>
      <c r="AC54" s="11"/>
      <c r="AD54" s="11"/>
      <c r="AE54" s="11"/>
      <c r="AF54" s="11"/>
      <c r="AG54" s="11"/>
      <c r="AH54" s="11"/>
      <c r="AI54" s="11"/>
      <c r="AJ54" s="11"/>
      <c r="AK54" s="11"/>
      <c r="AL54" s="11"/>
    </row>
    <row r="55" spans="1:38" ht="25.5" customHeight="1">
      <c r="A55" s="7" t="s">
        <v>23</v>
      </c>
      <c r="B55" s="12" t="s">
        <v>222</v>
      </c>
      <c r="C55" s="74" t="s">
        <v>223</v>
      </c>
      <c r="D55" s="85" t="s">
        <v>224</v>
      </c>
      <c r="E55" s="101" t="str">
        <f t="shared" si="0"/>
        <v>c_note
বড় কৃষক এবং বীজ ব্যবসায়ীদের সাথে সাক্ষাৎকার</v>
      </c>
      <c r="F55" s="86"/>
      <c r="G55" s="12"/>
      <c r="H55" s="12"/>
      <c r="I55" s="121"/>
      <c r="J55" s="12"/>
      <c r="K55" s="12"/>
      <c r="L55" s="12"/>
      <c r="M55" s="12"/>
      <c r="N55" s="12"/>
      <c r="O55" s="12"/>
      <c r="P55" s="12"/>
      <c r="Q55" s="12"/>
      <c r="R55" s="128"/>
      <c r="S55" s="129"/>
      <c r="T55" s="12"/>
      <c r="U55" s="12"/>
      <c r="V55" s="12"/>
      <c r="W55" s="12"/>
      <c r="X55" s="12"/>
      <c r="Y55" s="12"/>
      <c r="Z55" s="12"/>
      <c r="AA55" s="12"/>
      <c r="AB55" s="11"/>
      <c r="AC55" s="11"/>
      <c r="AD55" s="11"/>
      <c r="AE55" s="11"/>
      <c r="AF55" s="11"/>
      <c r="AG55" s="11"/>
      <c r="AH55" s="11"/>
      <c r="AI55" s="11"/>
      <c r="AJ55" s="11"/>
      <c r="AK55" s="11"/>
      <c r="AL55" s="11"/>
    </row>
    <row r="56" spans="1:38" ht="25.5" customHeight="1">
      <c r="A56" s="7" t="s">
        <v>122</v>
      </c>
      <c r="B56" s="8" t="s">
        <v>225</v>
      </c>
      <c r="C56" s="74" t="s">
        <v>226</v>
      </c>
      <c r="D56" s="130" t="s">
        <v>227</v>
      </c>
      <c r="E56" s="101" t="str">
        <f t="shared" si="0"/>
        <v>c_n_afp
এই গ্রামে কয়টি Axial Flow Pump (AFP) আছে?</v>
      </c>
      <c r="F56" s="86"/>
      <c r="G56" s="131" t="s">
        <v>228</v>
      </c>
      <c r="H56" s="8"/>
      <c r="I56" s="7"/>
      <c r="J56" s="71" t="s">
        <v>128</v>
      </c>
      <c r="K56" s="8"/>
      <c r="L56" s="72" t="s">
        <v>129</v>
      </c>
      <c r="M56" s="8"/>
      <c r="N56" s="8"/>
      <c r="O56" s="38" t="s">
        <v>54</v>
      </c>
      <c r="P56" s="8"/>
      <c r="Q56" s="8"/>
      <c r="R56" s="8"/>
      <c r="S56" s="8"/>
      <c r="T56" s="8"/>
      <c r="U56" s="8"/>
      <c r="V56" s="8"/>
      <c r="W56" s="8"/>
      <c r="X56" s="8"/>
      <c r="Y56" s="8"/>
      <c r="Z56" s="8"/>
      <c r="AA56" s="8"/>
      <c r="AB56" s="11"/>
      <c r="AC56" s="11"/>
      <c r="AD56" s="11"/>
      <c r="AE56" s="11"/>
      <c r="AF56" s="11"/>
      <c r="AG56" s="11"/>
      <c r="AH56" s="11"/>
      <c r="AI56" s="11"/>
      <c r="AJ56" s="11"/>
      <c r="AK56" s="11"/>
      <c r="AL56" s="11"/>
    </row>
    <row r="57" spans="1:38" ht="25.5" customHeight="1">
      <c r="A57" s="7" t="s">
        <v>122</v>
      </c>
      <c r="B57" s="8" t="s">
        <v>229</v>
      </c>
      <c r="C57" s="74" t="s">
        <v>230</v>
      </c>
      <c r="D57" s="132" t="s">
        <v>231</v>
      </c>
      <c r="E57" s="101" t="str">
        <f t="shared" si="0"/>
        <v>c_n_llp
এই গ্রামে কয়টি Low Lift Pump (LLP) আছে?</v>
      </c>
      <c r="F57" s="86"/>
      <c r="G57" s="133" t="s">
        <v>228</v>
      </c>
      <c r="H57" s="8"/>
      <c r="I57" s="7"/>
      <c r="J57" s="71" t="s">
        <v>128</v>
      </c>
      <c r="K57" s="8"/>
      <c r="L57" s="72" t="s">
        <v>129</v>
      </c>
      <c r="M57" s="8"/>
      <c r="N57" s="8"/>
      <c r="O57" s="38" t="s">
        <v>54</v>
      </c>
      <c r="P57" s="8"/>
      <c r="Q57" s="8"/>
      <c r="R57" s="8"/>
      <c r="S57" s="8"/>
      <c r="T57" s="8"/>
      <c r="U57" s="8"/>
      <c r="V57" s="8"/>
      <c r="W57" s="8"/>
      <c r="X57" s="8"/>
      <c r="Y57" s="8"/>
      <c r="Z57" s="8"/>
      <c r="AA57" s="8"/>
      <c r="AB57" s="11"/>
      <c r="AC57" s="11"/>
      <c r="AD57" s="11"/>
      <c r="AE57" s="11"/>
      <c r="AF57" s="11"/>
      <c r="AG57" s="11"/>
      <c r="AH57" s="11"/>
      <c r="AI57" s="11"/>
      <c r="AJ57" s="11"/>
      <c r="AK57" s="11"/>
      <c r="AL57" s="11"/>
    </row>
    <row r="58" spans="1:38" ht="25.5" customHeight="1">
      <c r="A58" s="7" t="s">
        <v>122</v>
      </c>
      <c r="B58" s="8" t="s">
        <v>232</v>
      </c>
      <c r="C58" s="74" t="s">
        <v>233</v>
      </c>
      <c r="D58" s="132" t="s">
        <v>234</v>
      </c>
      <c r="E58" s="101" t="str">
        <f t="shared" si="0"/>
        <v>c_n_stw
এই গ্রামে কয়টি অগভীর নলকুপ (Shallow Tube Well) আছে?</v>
      </c>
      <c r="F58" s="86"/>
      <c r="G58" s="133" t="s">
        <v>228</v>
      </c>
      <c r="H58" s="8"/>
      <c r="I58" s="7"/>
      <c r="J58" s="71" t="s">
        <v>128</v>
      </c>
      <c r="K58" s="8"/>
      <c r="L58" s="72" t="s">
        <v>129</v>
      </c>
      <c r="M58" s="8"/>
      <c r="N58" s="8"/>
      <c r="O58" s="38" t="s">
        <v>54</v>
      </c>
      <c r="P58" s="8"/>
      <c r="Q58" s="8"/>
      <c r="R58" s="8"/>
      <c r="S58" s="8"/>
      <c r="T58" s="8"/>
      <c r="U58" s="8"/>
      <c r="V58" s="8"/>
      <c r="W58" s="8"/>
      <c r="X58" s="8"/>
      <c r="Y58" s="8"/>
      <c r="Z58" s="8"/>
      <c r="AA58" s="8"/>
      <c r="AB58" s="11"/>
      <c r="AC58" s="11"/>
      <c r="AD58" s="11"/>
      <c r="AE58" s="11"/>
      <c r="AF58" s="11"/>
      <c r="AG58" s="11"/>
      <c r="AH58" s="11"/>
      <c r="AI58" s="11"/>
      <c r="AJ58" s="11"/>
      <c r="AK58" s="11"/>
      <c r="AL58" s="11"/>
    </row>
    <row r="59" spans="1:38" ht="25.5" customHeight="1">
      <c r="A59" s="7" t="s">
        <v>122</v>
      </c>
      <c r="B59" s="8" t="s">
        <v>235</v>
      </c>
      <c r="C59" s="74" t="s">
        <v>236</v>
      </c>
      <c r="D59" s="132" t="s">
        <v>237</v>
      </c>
      <c r="E59" s="101" t="str">
        <f t="shared" si="0"/>
        <v>c_n_dtw
এই গ্রামে কয়টি গভীর নলকুপ (Deep Tube Well) আছে?</v>
      </c>
      <c r="F59" s="86"/>
      <c r="G59" s="133" t="s">
        <v>228</v>
      </c>
      <c r="H59" s="8"/>
      <c r="I59" s="7"/>
      <c r="J59" s="71" t="s">
        <v>128</v>
      </c>
      <c r="K59" s="8"/>
      <c r="L59" s="72" t="s">
        <v>129</v>
      </c>
      <c r="M59" s="8"/>
      <c r="N59" s="8"/>
      <c r="O59" s="38" t="s">
        <v>54</v>
      </c>
      <c r="P59" s="8"/>
      <c r="Q59" s="8"/>
      <c r="R59" s="8"/>
      <c r="S59" s="8"/>
      <c r="T59" s="8"/>
      <c r="U59" s="8"/>
      <c r="V59" s="8"/>
      <c r="W59" s="8"/>
      <c r="X59" s="8"/>
      <c r="Y59" s="8"/>
      <c r="Z59" s="8"/>
      <c r="AA59" s="8"/>
      <c r="AB59" s="11"/>
      <c r="AC59" s="11"/>
      <c r="AD59" s="11"/>
      <c r="AE59" s="11"/>
      <c r="AF59" s="11"/>
      <c r="AG59" s="11"/>
      <c r="AH59" s="11"/>
      <c r="AI59" s="11"/>
      <c r="AJ59" s="11"/>
      <c r="AK59" s="11"/>
      <c r="AL59" s="11"/>
    </row>
    <row r="60" spans="1:38" ht="25.5" customHeight="1">
      <c r="A60" s="7" t="s">
        <v>122</v>
      </c>
      <c r="B60" s="8" t="s">
        <v>238</v>
      </c>
      <c r="C60" s="74" t="s">
        <v>239</v>
      </c>
      <c r="D60" s="134" t="s">
        <v>240</v>
      </c>
      <c r="E60" s="101" t="str">
        <f t="shared" si="0"/>
        <v>c_n_fert_drill
এই গ্রামে কয়টি সিডার এবং ফারটিলাইজার ড্রিলার আছে?</v>
      </c>
      <c r="F60" s="86"/>
      <c r="G60" s="133" t="s">
        <v>228</v>
      </c>
      <c r="H60" s="8"/>
      <c r="I60" s="7"/>
      <c r="J60" s="71" t="s">
        <v>128</v>
      </c>
      <c r="K60" s="135" t="s">
        <v>241</v>
      </c>
      <c r="L60" s="72" t="s">
        <v>129</v>
      </c>
      <c r="M60" s="8"/>
      <c r="N60" s="8"/>
      <c r="O60" s="38" t="s">
        <v>54</v>
      </c>
      <c r="P60" s="8"/>
      <c r="Q60" s="8"/>
      <c r="R60" s="8"/>
      <c r="S60" s="8"/>
      <c r="T60" s="8"/>
      <c r="U60" s="8"/>
      <c r="V60" s="8"/>
      <c r="W60" s="8"/>
      <c r="X60" s="8"/>
      <c r="Y60" s="8"/>
      <c r="Z60" s="8"/>
      <c r="AA60" s="8"/>
      <c r="AB60" s="11"/>
      <c r="AC60" s="11"/>
      <c r="AD60" s="11"/>
      <c r="AE60" s="11"/>
      <c r="AF60" s="11"/>
      <c r="AG60" s="11"/>
      <c r="AH60" s="11"/>
      <c r="AI60" s="11"/>
      <c r="AJ60" s="11"/>
      <c r="AK60" s="11"/>
      <c r="AL60" s="11"/>
    </row>
    <row r="61" spans="1:38" ht="25.5" customHeight="1">
      <c r="A61" s="7" t="s">
        <v>122</v>
      </c>
      <c r="B61" s="8" t="s">
        <v>242</v>
      </c>
      <c r="C61" s="74" t="s">
        <v>243</v>
      </c>
      <c r="D61" s="132" t="s">
        <v>244</v>
      </c>
      <c r="E61" s="101" t="str">
        <f t="shared" si="0"/>
        <v>c_n_bed_plant
এই গ্রামে কয়টি Bed Planter আছে?</v>
      </c>
      <c r="F61" s="86"/>
      <c r="G61" s="133" t="s">
        <v>228</v>
      </c>
      <c r="H61" s="8"/>
      <c r="I61" s="7"/>
      <c r="J61" s="71" t="s">
        <v>128</v>
      </c>
      <c r="K61" s="135" t="s">
        <v>241</v>
      </c>
      <c r="L61" s="72" t="s">
        <v>129</v>
      </c>
      <c r="M61" s="8"/>
      <c r="N61" s="8"/>
      <c r="O61" s="38" t="s">
        <v>54</v>
      </c>
      <c r="P61" s="8"/>
      <c r="Q61" s="8"/>
      <c r="R61" s="8"/>
      <c r="S61" s="8"/>
      <c r="T61" s="8"/>
      <c r="U61" s="8"/>
      <c r="V61" s="8"/>
      <c r="W61" s="8"/>
      <c r="X61" s="8"/>
      <c r="Y61" s="8"/>
      <c r="Z61" s="8"/>
      <c r="AA61" s="8"/>
      <c r="AB61" s="11"/>
      <c r="AC61" s="11"/>
      <c r="AD61" s="11"/>
      <c r="AE61" s="11"/>
      <c r="AF61" s="11"/>
      <c r="AG61" s="11"/>
      <c r="AH61" s="11"/>
      <c r="AI61" s="11"/>
      <c r="AJ61" s="11"/>
      <c r="AK61" s="11"/>
      <c r="AL61" s="11"/>
    </row>
    <row r="62" spans="1:38" ht="25.5" customHeight="1">
      <c r="A62" s="7" t="s">
        <v>122</v>
      </c>
      <c r="B62" s="8" t="s">
        <v>245</v>
      </c>
      <c r="C62" s="74" t="s">
        <v>246</v>
      </c>
      <c r="D62" s="132" t="s">
        <v>247</v>
      </c>
      <c r="E62" s="101" t="str">
        <f t="shared" si="0"/>
        <v>c_n_reaper
এই গ্রামে কয়টি শস্য কাটার যন্ত্র (রিপার) আছে?</v>
      </c>
      <c r="F62" s="86"/>
      <c r="G62" s="133" t="s">
        <v>228</v>
      </c>
      <c r="H62" s="8"/>
      <c r="I62" s="7"/>
      <c r="J62" s="71" t="s">
        <v>128</v>
      </c>
      <c r="K62" s="135" t="s">
        <v>241</v>
      </c>
      <c r="L62" s="72" t="s">
        <v>129</v>
      </c>
      <c r="M62" s="8"/>
      <c r="N62" s="8"/>
      <c r="O62" s="38" t="s">
        <v>54</v>
      </c>
      <c r="P62" s="8"/>
      <c r="Q62" s="8"/>
      <c r="R62" s="8"/>
      <c r="S62" s="8"/>
      <c r="T62" s="8"/>
      <c r="U62" s="8"/>
      <c r="V62" s="8"/>
      <c r="W62" s="8"/>
      <c r="X62" s="8"/>
      <c r="Y62" s="8"/>
      <c r="Z62" s="8"/>
      <c r="AA62" s="8"/>
      <c r="AB62" s="11"/>
      <c r="AC62" s="11"/>
      <c r="AD62" s="11"/>
      <c r="AE62" s="11"/>
      <c r="AF62" s="11"/>
      <c r="AG62" s="11"/>
      <c r="AH62" s="11"/>
      <c r="AI62" s="11"/>
      <c r="AJ62" s="11"/>
      <c r="AK62" s="11"/>
      <c r="AL62" s="11"/>
    </row>
    <row r="63" spans="1:38" ht="25.5" customHeight="1">
      <c r="A63" s="7" t="s">
        <v>122</v>
      </c>
      <c r="B63" s="8" t="s">
        <v>248</v>
      </c>
      <c r="C63" s="74" t="s">
        <v>249</v>
      </c>
      <c r="D63" s="132" t="s">
        <v>250</v>
      </c>
      <c r="E63" s="101" t="str">
        <f t="shared" si="0"/>
        <v>c_n_solar_pump
এই গ্রামে কয়টি সোলার পাম্প আছে?</v>
      </c>
      <c r="F63" s="86"/>
      <c r="G63" s="133" t="s">
        <v>228</v>
      </c>
      <c r="H63" s="8"/>
      <c r="I63" s="7"/>
      <c r="J63" s="71" t="s">
        <v>128</v>
      </c>
      <c r="K63" s="135" t="s">
        <v>241</v>
      </c>
      <c r="L63" s="72" t="s">
        <v>129</v>
      </c>
      <c r="M63" s="8"/>
      <c r="N63" s="8"/>
      <c r="O63" s="38" t="s">
        <v>54</v>
      </c>
      <c r="P63" s="8"/>
      <c r="Q63" s="8"/>
      <c r="R63" s="8"/>
      <c r="S63" s="8"/>
      <c r="T63" s="8"/>
      <c r="U63" s="8"/>
      <c r="V63" s="8"/>
      <c r="W63" s="8"/>
      <c r="X63" s="8"/>
      <c r="Y63" s="8"/>
      <c r="Z63" s="8"/>
      <c r="AA63" s="8"/>
      <c r="AB63" s="11"/>
      <c r="AC63" s="11"/>
      <c r="AD63" s="11"/>
      <c r="AE63" s="11"/>
      <c r="AF63" s="11"/>
      <c r="AG63" s="11"/>
      <c r="AH63" s="11"/>
      <c r="AI63" s="11"/>
      <c r="AJ63" s="11"/>
      <c r="AK63" s="11"/>
      <c r="AL63" s="11"/>
    </row>
    <row r="64" spans="1:38" ht="25.5" customHeight="1">
      <c r="A64" s="7" t="s">
        <v>122</v>
      </c>
      <c r="B64" s="8" t="s">
        <v>251</v>
      </c>
      <c r="C64" s="74" t="s">
        <v>252</v>
      </c>
      <c r="D64" s="132" t="s">
        <v>253</v>
      </c>
      <c r="E64" s="101" t="str">
        <f t="shared" si="0"/>
        <v>c_n_power_tiller
এই গ্রামে কয়টি পাওয়ার টিলার আছে?</v>
      </c>
      <c r="F64" s="86"/>
      <c r="G64" s="133" t="s">
        <v>228</v>
      </c>
      <c r="H64" s="8"/>
      <c r="I64" s="136"/>
      <c r="J64" s="71" t="s">
        <v>128</v>
      </c>
      <c r="K64" s="135" t="s">
        <v>241</v>
      </c>
      <c r="L64" s="72" t="s">
        <v>129</v>
      </c>
      <c r="M64" s="8"/>
      <c r="N64" s="8"/>
      <c r="O64" s="38" t="s">
        <v>54</v>
      </c>
      <c r="P64" s="8"/>
      <c r="Q64" s="8"/>
      <c r="R64" s="8"/>
      <c r="S64" s="8"/>
      <c r="T64" s="8"/>
      <c r="U64" s="8"/>
      <c r="V64" s="8"/>
      <c r="W64" s="8"/>
      <c r="X64" s="8"/>
      <c r="Y64" s="8"/>
      <c r="Z64" s="8"/>
      <c r="AA64" s="8"/>
      <c r="AB64" s="11"/>
      <c r="AC64" s="11"/>
      <c r="AD64" s="11"/>
      <c r="AE64" s="11"/>
      <c r="AF64" s="11"/>
      <c r="AG64" s="11"/>
      <c r="AH64" s="11"/>
      <c r="AI64" s="11"/>
      <c r="AJ64" s="11"/>
      <c r="AK64" s="11"/>
      <c r="AL64" s="11"/>
    </row>
    <row r="65" spans="1:38" ht="25.5" customHeight="1">
      <c r="A65" s="7" t="s">
        <v>122</v>
      </c>
      <c r="B65" s="8" t="s">
        <v>254</v>
      </c>
      <c r="C65" s="74" t="s">
        <v>255</v>
      </c>
      <c r="D65" s="132" t="s">
        <v>256</v>
      </c>
      <c r="E65" s="101" t="str">
        <f t="shared" si="0"/>
        <v>c_n_tractor
এই গ্রামে কয়টি ট্রাক্টর আছে?</v>
      </c>
      <c r="F65" s="86"/>
      <c r="G65" s="133" t="s">
        <v>228</v>
      </c>
      <c r="H65" s="8"/>
      <c r="I65" s="136"/>
      <c r="J65" s="71" t="s">
        <v>128</v>
      </c>
      <c r="K65" s="135" t="s">
        <v>241</v>
      </c>
      <c r="L65" s="72" t="s">
        <v>129</v>
      </c>
      <c r="M65" s="8"/>
      <c r="N65" s="8"/>
      <c r="O65" s="38" t="s">
        <v>54</v>
      </c>
      <c r="P65" s="8"/>
      <c r="Q65" s="8"/>
      <c r="R65" s="8"/>
      <c r="S65" s="8"/>
      <c r="T65" s="8"/>
      <c r="U65" s="8"/>
      <c r="V65" s="8"/>
      <c r="W65" s="8"/>
      <c r="X65" s="8"/>
      <c r="Y65" s="8"/>
      <c r="Z65" s="8"/>
      <c r="AA65" s="8"/>
      <c r="AB65" s="11"/>
      <c r="AC65" s="11"/>
      <c r="AD65" s="11"/>
      <c r="AE65" s="11"/>
      <c r="AF65" s="11"/>
      <c r="AG65" s="11"/>
      <c r="AH65" s="11"/>
      <c r="AI65" s="11"/>
      <c r="AJ65" s="11"/>
      <c r="AK65" s="11"/>
      <c r="AL65" s="11"/>
    </row>
    <row r="66" spans="1:38" ht="25.5" customHeight="1">
      <c r="A66" s="7" t="s">
        <v>122</v>
      </c>
      <c r="B66" s="8" t="s">
        <v>257</v>
      </c>
      <c r="C66" s="74" t="s">
        <v>258</v>
      </c>
      <c r="D66" s="132" t="s">
        <v>259</v>
      </c>
      <c r="E66" s="101" t="str">
        <f t="shared" si="0"/>
        <v>c_n_thresher
এই গ্রামে কয়টি থ্রেসার (মাড়াই যন্ত্র) আছে?</v>
      </c>
      <c r="F66" s="86"/>
      <c r="G66" s="133" t="s">
        <v>228</v>
      </c>
      <c r="H66" s="8"/>
      <c r="I66" s="7"/>
      <c r="J66" s="71" t="s">
        <v>128</v>
      </c>
      <c r="K66" s="135" t="s">
        <v>241</v>
      </c>
      <c r="L66" s="72" t="s">
        <v>129</v>
      </c>
      <c r="M66" s="8"/>
      <c r="N66" s="8"/>
      <c r="O66" s="38" t="s">
        <v>54</v>
      </c>
      <c r="P66" s="8"/>
      <c r="Q66" s="8"/>
      <c r="R66" s="8"/>
      <c r="S66" s="8"/>
      <c r="T66" s="8"/>
      <c r="U66" s="8"/>
      <c r="V66" s="8"/>
      <c r="W66" s="8"/>
      <c r="X66" s="8"/>
      <c r="Y66" s="8"/>
      <c r="Z66" s="8"/>
      <c r="AA66" s="8"/>
      <c r="AB66" s="11"/>
      <c r="AC66" s="11"/>
      <c r="AD66" s="11"/>
      <c r="AE66" s="11"/>
      <c r="AF66" s="11"/>
      <c r="AG66" s="11"/>
      <c r="AH66" s="11"/>
      <c r="AI66" s="11"/>
      <c r="AJ66" s="11"/>
      <c r="AK66" s="11"/>
      <c r="AL66" s="11"/>
    </row>
    <row r="67" spans="1:38" ht="25.5" customHeight="1">
      <c r="A67" s="7" t="s">
        <v>122</v>
      </c>
      <c r="B67" s="8" t="s">
        <v>260</v>
      </c>
      <c r="C67" s="74" t="s">
        <v>261</v>
      </c>
      <c r="D67" s="132" t="s">
        <v>262</v>
      </c>
      <c r="E67" s="101" t="str">
        <f t="shared" si="0"/>
        <v>c_n_harvester
এই গ্রামে কয়টি হার্ভেস্টার আছে?</v>
      </c>
      <c r="F67" s="86"/>
      <c r="G67" s="133" t="s">
        <v>228</v>
      </c>
      <c r="H67" s="8"/>
      <c r="I67" s="7"/>
      <c r="J67" s="71" t="s">
        <v>128</v>
      </c>
      <c r="K67" s="135" t="s">
        <v>241</v>
      </c>
      <c r="L67" s="72" t="s">
        <v>129</v>
      </c>
      <c r="M67" s="8"/>
      <c r="N67" s="8"/>
      <c r="O67" s="38" t="s">
        <v>54</v>
      </c>
      <c r="P67" s="8"/>
      <c r="Q67" s="8"/>
      <c r="R67" s="8"/>
      <c r="S67" s="8"/>
      <c r="T67" s="8"/>
      <c r="U67" s="8"/>
      <c r="V67" s="8"/>
      <c r="W67" s="8"/>
      <c r="X67" s="8"/>
      <c r="Y67" s="8"/>
      <c r="Z67" s="8"/>
      <c r="AA67" s="8"/>
      <c r="AB67" s="11"/>
      <c r="AC67" s="11"/>
      <c r="AD67" s="11"/>
      <c r="AE67" s="11"/>
      <c r="AF67" s="11"/>
      <c r="AG67" s="11"/>
      <c r="AH67" s="11"/>
      <c r="AI67" s="11"/>
      <c r="AJ67" s="11"/>
      <c r="AK67" s="11"/>
      <c r="AL67" s="11"/>
    </row>
    <row r="68" spans="1:38" ht="15.75" customHeight="1">
      <c r="A68" s="7" t="s">
        <v>122</v>
      </c>
      <c r="B68" s="7" t="s">
        <v>263</v>
      </c>
      <c r="C68" s="74" t="s">
        <v>264</v>
      </c>
      <c r="D68" s="134" t="s">
        <v>265</v>
      </c>
      <c r="E68" s="101" t="str">
        <f t="shared" si="0"/>
        <v>c_pc_awd
এই গ্রামে কত শতাংশ জমি আছে যা কিনা পর্যায়ক্রমে জমিকে ভিজানো এবং শুকানো (AWD) সেচ পদ্ধতি ব্যবহার করে?</v>
      </c>
      <c r="F68" s="8"/>
      <c r="G68" s="137" t="s">
        <v>266</v>
      </c>
      <c r="H68" s="7"/>
      <c r="I68" s="7"/>
      <c r="J68" s="71" t="s">
        <v>128</v>
      </c>
      <c r="K68" s="135" t="s">
        <v>241</v>
      </c>
      <c r="L68" s="72" t="s">
        <v>129</v>
      </c>
      <c r="M68" s="8"/>
      <c r="N68" s="7"/>
      <c r="O68" s="38" t="s">
        <v>54</v>
      </c>
      <c r="P68" s="7"/>
      <c r="Q68" s="7"/>
      <c r="R68" s="7"/>
      <c r="S68" s="7"/>
      <c r="T68" s="7"/>
      <c r="U68" s="7"/>
      <c r="V68" s="7"/>
      <c r="W68" s="7"/>
      <c r="X68" s="7"/>
      <c r="Y68" s="7"/>
      <c r="Z68" s="7"/>
      <c r="AA68" s="7"/>
      <c r="AB68" s="11"/>
      <c r="AC68" s="11"/>
      <c r="AD68" s="11"/>
      <c r="AE68" s="11"/>
      <c r="AF68" s="11"/>
      <c r="AG68" s="11"/>
      <c r="AH68" s="11"/>
      <c r="AI68" s="11"/>
      <c r="AJ68" s="11"/>
      <c r="AK68" s="11"/>
      <c r="AL68" s="11"/>
    </row>
    <row r="69" spans="1:38" ht="15.75" customHeight="1">
      <c r="A69" s="7" t="s">
        <v>148</v>
      </c>
      <c r="B69" s="7" t="s">
        <v>267</v>
      </c>
      <c r="C69" s="74" t="s">
        <v>268</v>
      </c>
      <c r="D69" s="132" t="s">
        <v>269</v>
      </c>
      <c r="E69" s="101" t="str">
        <f t="shared" si="0"/>
        <v>c_n_canal_irrigate
এই গ্রাম কি ক্যানেল সেচের স্কীমের আওতায় আছে? (যেমন: GK, বরেন্দ্র প্রকল্প)?</v>
      </c>
      <c r="F69" s="8"/>
      <c r="G69" s="8"/>
      <c r="H69" s="7"/>
      <c r="I69" s="7"/>
      <c r="J69" s="71" t="s">
        <v>128</v>
      </c>
      <c r="K69" s="135" t="s">
        <v>241</v>
      </c>
      <c r="L69" s="72" t="s">
        <v>129</v>
      </c>
      <c r="M69" s="8"/>
      <c r="N69" s="7"/>
      <c r="O69" s="38" t="s">
        <v>54</v>
      </c>
      <c r="P69" s="7"/>
      <c r="Q69" s="7"/>
      <c r="R69" s="7"/>
      <c r="S69" s="7"/>
      <c r="T69" s="7"/>
      <c r="U69" s="7"/>
      <c r="V69" s="7"/>
      <c r="W69" s="7"/>
      <c r="X69" s="7"/>
      <c r="Y69" s="7"/>
      <c r="Z69" s="7"/>
      <c r="AA69" s="7"/>
      <c r="AB69" s="11"/>
      <c r="AC69" s="11"/>
      <c r="AD69" s="11"/>
      <c r="AE69" s="11"/>
      <c r="AF69" s="11"/>
      <c r="AG69" s="11"/>
      <c r="AH69" s="11"/>
      <c r="AI69" s="11"/>
      <c r="AJ69" s="11"/>
      <c r="AK69" s="11"/>
      <c r="AL69" s="11"/>
    </row>
    <row r="70" spans="1:38" ht="15.75" customHeight="1">
      <c r="A70" s="7" t="s">
        <v>148</v>
      </c>
      <c r="B70" s="7" t="s">
        <v>270</v>
      </c>
      <c r="C70" s="74" t="s">
        <v>271</v>
      </c>
      <c r="D70" s="134" t="s">
        <v>272</v>
      </c>
      <c r="E70" s="101" t="str">
        <f t="shared" si="0"/>
        <v>c_check_leaf_color
আপনি বা আপনার গ্রামের কেউ ধানের পাতার রঙ দেখে সার প্রয়োগ করেন কী না?</v>
      </c>
      <c r="F70" s="8"/>
      <c r="G70" s="138"/>
      <c r="H70" s="7"/>
      <c r="I70" s="7"/>
      <c r="J70" s="71"/>
      <c r="K70" s="135"/>
      <c r="L70" s="72"/>
      <c r="M70" s="8"/>
      <c r="N70" s="7"/>
      <c r="O70" s="38" t="s">
        <v>54</v>
      </c>
      <c r="P70" s="7"/>
      <c r="Q70" s="7"/>
      <c r="R70" s="7"/>
      <c r="S70" s="7"/>
      <c r="T70" s="7"/>
      <c r="U70" s="7"/>
      <c r="V70" s="7"/>
      <c r="W70" s="7"/>
      <c r="X70" s="7"/>
      <c r="Y70" s="7"/>
      <c r="Z70" s="7"/>
      <c r="AA70" s="7"/>
      <c r="AB70" s="11"/>
      <c r="AC70" s="11"/>
      <c r="AD70" s="11"/>
      <c r="AE70" s="11"/>
      <c r="AF70" s="11"/>
      <c r="AG70" s="11"/>
      <c r="AH70" s="11"/>
      <c r="AI70" s="11"/>
      <c r="AJ70" s="11"/>
      <c r="AK70" s="11"/>
      <c r="AL70" s="11"/>
    </row>
    <row r="71" spans="1:38" ht="15.75" customHeight="1">
      <c r="A71" s="7" t="s">
        <v>148</v>
      </c>
      <c r="B71" s="7" t="s">
        <v>273</v>
      </c>
      <c r="C71" s="74" t="s">
        <v>274</v>
      </c>
      <c r="D71" s="132" t="s">
        <v>275</v>
      </c>
      <c r="E71" s="101" t="str">
        <f t="shared" si="0"/>
        <v>c_use_color_chart
সেক্ষেত্রে আপনি কোন কাগজের রঙয়ের চার্ট ব্যবহার করেন কী না?</v>
      </c>
      <c r="F71" s="8"/>
      <c r="G71" s="138"/>
      <c r="H71" s="7"/>
      <c r="I71" s="7"/>
      <c r="J71" s="71"/>
      <c r="K71" s="135"/>
      <c r="L71" s="72"/>
      <c r="M71" s="8" t="s">
        <v>276</v>
      </c>
      <c r="N71" s="7"/>
      <c r="O71" s="38" t="s">
        <v>54</v>
      </c>
      <c r="P71" s="7"/>
      <c r="Q71" s="7"/>
      <c r="R71" s="7"/>
      <c r="S71" s="7"/>
      <c r="T71" s="7"/>
      <c r="U71" s="7"/>
      <c r="V71" s="7"/>
      <c r="W71" s="7"/>
      <c r="X71" s="7"/>
      <c r="Y71" s="7"/>
      <c r="Z71" s="7"/>
      <c r="AA71" s="7"/>
      <c r="AB71" s="11"/>
      <c r="AC71" s="11"/>
      <c r="AD71" s="11"/>
      <c r="AE71" s="11"/>
      <c r="AF71" s="11"/>
      <c r="AG71" s="11"/>
      <c r="AH71" s="11"/>
      <c r="AI71" s="11"/>
      <c r="AJ71" s="11"/>
      <c r="AK71" s="11"/>
      <c r="AL71" s="11"/>
    </row>
    <row r="72" spans="1:38" ht="15.75" customHeight="1">
      <c r="A72" s="7" t="s">
        <v>122</v>
      </c>
      <c r="B72" s="7" t="s">
        <v>277</v>
      </c>
      <c r="C72" s="74" t="s">
        <v>278</v>
      </c>
      <c r="D72" s="132" t="s">
        <v>279</v>
      </c>
      <c r="E72" s="101" t="str">
        <f t="shared" si="0"/>
        <v>c_n_supp_seed
কতজন বীজ সরবরাহকারী আছে?</v>
      </c>
      <c r="F72" s="8"/>
      <c r="G72" s="133" t="s">
        <v>228</v>
      </c>
      <c r="H72" s="7"/>
      <c r="I72" s="7"/>
      <c r="J72" s="71" t="s">
        <v>128</v>
      </c>
      <c r="K72" s="135" t="s">
        <v>241</v>
      </c>
      <c r="L72" s="72" t="s">
        <v>129</v>
      </c>
      <c r="M72" s="8"/>
      <c r="N72" s="7"/>
      <c r="O72" s="38" t="s">
        <v>54</v>
      </c>
      <c r="P72" s="7"/>
      <c r="Q72" s="7"/>
      <c r="R72" s="7"/>
      <c r="S72" s="7"/>
      <c r="T72" s="7"/>
      <c r="U72" s="7"/>
      <c r="V72" s="7"/>
      <c r="W72" s="7"/>
      <c r="X72" s="7"/>
      <c r="Y72" s="7"/>
      <c r="Z72" s="7"/>
      <c r="AA72" s="7"/>
      <c r="AB72" s="11"/>
      <c r="AC72" s="11"/>
      <c r="AD72" s="11"/>
      <c r="AE72" s="11"/>
      <c r="AF72" s="11"/>
      <c r="AG72" s="11"/>
      <c r="AH72" s="11"/>
      <c r="AI72" s="11"/>
      <c r="AJ72" s="11"/>
      <c r="AK72" s="11"/>
      <c r="AL72" s="11"/>
    </row>
    <row r="73" spans="1:38" ht="15.75" customHeight="1">
      <c r="A73" s="7" t="s">
        <v>280</v>
      </c>
      <c r="B73" s="7" t="s">
        <v>281</v>
      </c>
      <c r="C73" s="74" t="s">
        <v>282</v>
      </c>
      <c r="D73" s="132" t="s">
        <v>283</v>
      </c>
      <c r="E73" s="101" t="str">
        <f t="shared" si="0"/>
        <v>c_price_level
গত 12 মাসে, বীজের দাম কি স্থিতিশীল আছে, দাম কমেছে নাকি দাম বৃদ্ধি পেয়েছে?</v>
      </c>
      <c r="F73" s="8"/>
      <c r="G73" s="8"/>
      <c r="H73" s="7"/>
      <c r="I73" s="7"/>
      <c r="J73" s="7"/>
      <c r="K73" s="8"/>
      <c r="L73" s="8"/>
      <c r="M73" s="8"/>
      <c r="N73" s="7"/>
      <c r="O73" s="38" t="s">
        <v>54</v>
      </c>
      <c r="P73" s="7"/>
      <c r="Q73" s="7"/>
      <c r="R73" s="7"/>
      <c r="S73" s="7"/>
      <c r="T73" s="7"/>
      <c r="U73" s="7"/>
      <c r="V73" s="7"/>
      <c r="W73" s="7"/>
      <c r="X73" s="7"/>
      <c r="Y73" s="7"/>
      <c r="Z73" s="7"/>
      <c r="AA73" s="7"/>
      <c r="AB73" s="11"/>
      <c r="AC73" s="11"/>
      <c r="AD73" s="11"/>
      <c r="AE73" s="11"/>
      <c r="AF73" s="11"/>
      <c r="AG73" s="11"/>
      <c r="AH73" s="11"/>
      <c r="AI73" s="11"/>
      <c r="AJ73" s="11"/>
      <c r="AK73" s="11"/>
      <c r="AL73" s="11"/>
    </row>
    <row r="74" spans="1:38" ht="15.75" customHeight="1">
      <c r="A74" s="7" t="s">
        <v>284</v>
      </c>
      <c r="B74" s="7" t="s">
        <v>285</v>
      </c>
      <c r="C74" s="9" t="s">
        <v>286</v>
      </c>
      <c r="D74" s="134" t="s">
        <v>287</v>
      </c>
      <c r="E74" s="101" t="str">
        <f t="shared" si="0"/>
        <v>c_price_increase
বীজের দাম কতটা বেড়েছে?</v>
      </c>
      <c r="F74" s="8"/>
      <c r="G74" s="8"/>
      <c r="H74" s="7"/>
      <c r="I74" s="7"/>
      <c r="J74" s="7"/>
      <c r="K74" s="8"/>
      <c r="L74" s="8"/>
      <c r="M74" s="8" t="s">
        <v>288</v>
      </c>
      <c r="N74" s="7"/>
      <c r="O74" s="38" t="s">
        <v>54</v>
      </c>
      <c r="P74" s="7"/>
      <c r="Q74" s="7"/>
      <c r="R74" s="7"/>
      <c r="S74" s="7"/>
      <c r="T74" s="7"/>
      <c r="U74" s="7"/>
      <c r="V74" s="7"/>
      <c r="W74" s="7"/>
      <c r="X74" s="7"/>
      <c r="Y74" s="7"/>
      <c r="Z74" s="7"/>
      <c r="AA74" s="7"/>
      <c r="AB74" s="11"/>
      <c r="AC74" s="11"/>
      <c r="AD74" s="11"/>
      <c r="AE74" s="11"/>
      <c r="AF74" s="11"/>
      <c r="AG74" s="11"/>
      <c r="AH74" s="11"/>
      <c r="AI74" s="11"/>
      <c r="AJ74" s="11"/>
      <c r="AK74" s="11"/>
      <c r="AL74" s="11"/>
    </row>
    <row r="75" spans="1:38" ht="15.75" customHeight="1">
      <c r="A75" s="7" t="s">
        <v>284</v>
      </c>
      <c r="B75" s="7" t="s">
        <v>289</v>
      </c>
      <c r="C75" s="74" t="s">
        <v>290</v>
      </c>
      <c r="D75" s="134" t="s">
        <v>291</v>
      </c>
      <c r="E75" s="101" t="str">
        <f t="shared" si="0"/>
        <v>c_price_decrease
বীজের দাম কতটা কমেছে?</v>
      </c>
      <c r="F75" s="8"/>
      <c r="G75" s="8"/>
      <c r="H75" s="7"/>
      <c r="I75" s="7"/>
      <c r="J75" s="7"/>
      <c r="K75" s="8"/>
      <c r="L75" s="8"/>
      <c r="M75" s="8" t="s">
        <v>292</v>
      </c>
      <c r="N75" s="7"/>
      <c r="O75" s="38" t="s">
        <v>54</v>
      </c>
      <c r="P75" s="7"/>
      <c r="Q75" s="7"/>
      <c r="R75" s="7"/>
      <c r="S75" s="7"/>
      <c r="T75" s="7"/>
      <c r="U75" s="7"/>
      <c r="V75" s="7"/>
      <c r="W75" s="7"/>
      <c r="X75" s="7"/>
      <c r="Y75" s="7"/>
      <c r="Z75" s="7"/>
      <c r="AA75" s="7"/>
      <c r="AB75" s="11"/>
      <c r="AC75" s="11"/>
      <c r="AD75" s="11"/>
      <c r="AE75" s="11"/>
      <c r="AF75" s="11"/>
      <c r="AG75" s="11"/>
      <c r="AH75" s="11"/>
      <c r="AI75" s="11"/>
      <c r="AJ75" s="11"/>
      <c r="AK75" s="11"/>
      <c r="AL75" s="11"/>
    </row>
    <row r="76" spans="1:38" ht="15.75" customHeight="1">
      <c r="A76" s="7" t="s">
        <v>122</v>
      </c>
      <c r="B76" s="7" t="s">
        <v>293</v>
      </c>
      <c r="C76" s="74" t="s">
        <v>294</v>
      </c>
      <c r="D76" s="93" t="s">
        <v>295</v>
      </c>
      <c r="E76" s="101" t="str">
        <f t="shared" si="0"/>
        <v>c_n_fish_supp
এই গ্রামে কতজন মাছের সরবরাহকারী আছে?</v>
      </c>
      <c r="F76" s="8"/>
      <c r="G76" s="133" t="s">
        <v>228</v>
      </c>
      <c r="H76" s="7"/>
      <c r="I76" s="7"/>
      <c r="J76" s="71" t="s">
        <v>128</v>
      </c>
      <c r="K76" s="135" t="s">
        <v>241</v>
      </c>
      <c r="L76" s="72" t="s">
        <v>129</v>
      </c>
      <c r="M76" s="8"/>
      <c r="N76" s="7"/>
      <c r="O76" s="38" t="s">
        <v>54</v>
      </c>
      <c r="P76" s="7"/>
      <c r="Q76" s="7"/>
      <c r="R76" s="7"/>
      <c r="S76" s="7"/>
      <c r="T76" s="7"/>
      <c r="U76" s="7"/>
      <c r="V76" s="7"/>
      <c r="W76" s="7"/>
      <c r="X76" s="7"/>
      <c r="Y76" s="7"/>
      <c r="Z76" s="7"/>
      <c r="AA76" s="7"/>
      <c r="AB76" s="11"/>
      <c r="AC76" s="11"/>
      <c r="AD76" s="11"/>
      <c r="AE76" s="11"/>
      <c r="AF76" s="11"/>
      <c r="AG76" s="11"/>
      <c r="AH76" s="11"/>
      <c r="AI76" s="11"/>
      <c r="AJ76" s="11"/>
      <c r="AK76" s="11"/>
      <c r="AL76" s="11"/>
    </row>
    <row r="77" spans="1:38" ht="25.5" customHeight="1">
      <c r="A77" s="7" t="s">
        <v>280</v>
      </c>
      <c r="B77" s="7" t="s">
        <v>296</v>
      </c>
      <c r="C77" s="74" t="s">
        <v>297</v>
      </c>
      <c r="D77" s="132" t="s">
        <v>298</v>
      </c>
      <c r="E77" s="101" t="str">
        <f t="shared" si="0"/>
        <v>c_price_level_fish
গত 12 মাসে মাছের দাম কি স্থিতিশীল আছে, দাম কমেছে নাকি দাম বৃদ্ধি পেয়েছে?</v>
      </c>
      <c r="F77" s="86"/>
      <c r="G77" s="8"/>
      <c r="H77" s="8"/>
      <c r="I77" s="136"/>
      <c r="J77" s="8"/>
      <c r="K77" s="8"/>
      <c r="L77" s="8"/>
      <c r="M77" s="8"/>
      <c r="N77" s="8"/>
      <c r="O77" s="38" t="s">
        <v>54</v>
      </c>
      <c r="P77" s="8"/>
      <c r="Q77" s="8"/>
      <c r="R77" s="8"/>
      <c r="S77" s="8"/>
      <c r="T77" s="8"/>
      <c r="U77" s="8"/>
      <c r="V77" s="8"/>
      <c r="W77" s="8"/>
      <c r="X77" s="8"/>
      <c r="Y77" s="8"/>
      <c r="Z77" s="8"/>
      <c r="AA77" s="8"/>
      <c r="AB77" s="11"/>
      <c r="AC77" s="11"/>
      <c r="AD77" s="11"/>
      <c r="AE77" s="11"/>
      <c r="AF77" s="11"/>
      <c r="AG77" s="11"/>
      <c r="AH77" s="11"/>
      <c r="AI77" s="11"/>
      <c r="AJ77" s="11"/>
      <c r="AK77" s="11"/>
      <c r="AL77" s="11"/>
    </row>
    <row r="78" spans="1:38" ht="15.75" customHeight="1">
      <c r="A78" s="7" t="s">
        <v>284</v>
      </c>
      <c r="B78" s="7" t="s">
        <v>299</v>
      </c>
      <c r="C78" s="9" t="s">
        <v>300</v>
      </c>
      <c r="D78" s="134" t="s">
        <v>301</v>
      </c>
      <c r="E78" s="101" t="str">
        <f t="shared" si="0"/>
        <v>c_price_increase_fi
মাছের দাম কতটা বেড়েছে?</v>
      </c>
      <c r="F78" s="8"/>
      <c r="G78" s="8"/>
      <c r="H78" s="7"/>
      <c r="I78" s="7"/>
      <c r="J78" s="7"/>
      <c r="K78" s="8"/>
      <c r="L78" s="8"/>
      <c r="M78" s="8" t="s">
        <v>302</v>
      </c>
      <c r="N78" s="7"/>
      <c r="O78" s="38" t="s">
        <v>54</v>
      </c>
      <c r="P78" s="7"/>
      <c r="Q78" s="7"/>
      <c r="R78" s="7"/>
      <c r="S78" s="7"/>
      <c r="T78" s="7"/>
      <c r="U78" s="7"/>
      <c r="V78" s="7"/>
      <c r="W78" s="7"/>
      <c r="X78" s="7"/>
      <c r="Y78" s="7"/>
      <c r="Z78" s="7"/>
      <c r="AA78" s="7"/>
      <c r="AB78" s="11"/>
      <c r="AC78" s="11"/>
      <c r="AD78" s="11"/>
      <c r="AE78" s="11"/>
      <c r="AF78" s="11"/>
      <c r="AG78" s="11"/>
      <c r="AH78" s="11"/>
      <c r="AI78" s="11"/>
      <c r="AJ78" s="11"/>
      <c r="AK78" s="11"/>
      <c r="AL78" s="11"/>
    </row>
    <row r="79" spans="1:38" ht="15.75" customHeight="1">
      <c r="A79" s="7" t="s">
        <v>284</v>
      </c>
      <c r="B79" s="7" t="s">
        <v>303</v>
      </c>
      <c r="C79" s="74" t="s">
        <v>304</v>
      </c>
      <c r="D79" s="134" t="s">
        <v>305</v>
      </c>
      <c r="E79" s="101" t="str">
        <f t="shared" si="0"/>
        <v>c_price_decrease_fi
মাছের দাম কতটা কমেছে?</v>
      </c>
      <c r="F79" s="8"/>
      <c r="G79" s="8"/>
      <c r="H79" s="7"/>
      <c r="I79" s="7"/>
      <c r="J79" s="7"/>
      <c r="K79" s="8"/>
      <c r="L79" s="8"/>
      <c r="M79" s="8" t="s">
        <v>306</v>
      </c>
      <c r="N79" s="7"/>
      <c r="O79" s="38" t="s">
        <v>54</v>
      </c>
      <c r="P79" s="7"/>
      <c r="Q79" s="7"/>
      <c r="R79" s="7"/>
      <c r="S79" s="7"/>
      <c r="T79" s="7"/>
      <c r="U79" s="7"/>
      <c r="V79" s="7"/>
      <c r="W79" s="7"/>
      <c r="X79" s="7"/>
      <c r="Y79" s="7"/>
      <c r="Z79" s="7"/>
      <c r="AA79" s="7"/>
      <c r="AB79" s="11"/>
      <c r="AC79" s="11"/>
      <c r="AD79" s="11"/>
      <c r="AE79" s="11"/>
      <c r="AF79" s="11"/>
      <c r="AG79" s="11"/>
      <c r="AH79" s="11"/>
      <c r="AI79" s="11"/>
      <c r="AJ79" s="11"/>
      <c r="AK79" s="11"/>
      <c r="AL79" s="11"/>
    </row>
    <row r="80" spans="1:38" ht="25.5" customHeight="1">
      <c r="A80" s="139" t="s">
        <v>35</v>
      </c>
      <c r="B80" s="140" t="s">
        <v>307</v>
      </c>
      <c r="C80" s="141"/>
      <c r="D80" s="141"/>
      <c r="E80" s="101" t="str">
        <f t="shared" si="0"/>
        <v xml:space="preserve">machine_list
</v>
      </c>
      <c r="F80" s="142"/>
      <c r="G80" s="142"/>
      <c r="H80" s="142"/>
      <c r="I80" s="142"/>
      <c r="J80" s="142"/>
      <c r="K80" s="142"/>
      <c r="L80" s="142"/>
      <c r="M80" s="142"/>
      <c r="N80" s="142"/>
      <c r="O80" s="142"/>
      <c r="P80" s="142"/>
      <c r="Q80" s="142"/>
      <c r="R80" s="143" t="s">
        <v>308</v>
      </c>
      <c r="S80" s="144"/>
      <c r="T80" s="142"/>
      <c r="U80" s="142"/>
      <c r="V80" s="142"/>
      <c r="W80" s="142"/>
      <c r="X80" s="142"/>
      <c r="Y80" s="142"/>
      <c r="Z80" s="142"/>
      <c r="AA80" s="142"/>
      <c r="AB80" s="22"/>
      <c r="AC80" s="22"/>
      <c r="AD80" s="22"/>
      <c r="AE80" s="22"/>
      <c r="AF80" s="22"/>
      <c r="AG80" s="22"/>
      <c r="AH80" s="22"/>
      <c r="AI80" s="22"/>
      <c r="AJ80" s="22"/>
      <c r="AK80" s="22"/>
      <c r="AL80" s="22"/>
    </row>
    <row r="81" spans="1:38" ht="15.75" customHeight="1">
      <c r="A81" s="39" t="s">
        <v>35</v>
      </c>
      <c r="B81" s="40" t="s">
        <v>309</v>
      </c>
      <c r="C81" s="41"/>
      <c r="D81" s="41"/>
      <c r="E81" s="101" t="str">
        <f t="shared" si="0"/>
        <v xml:space="preserve">machine_name
</v>
      </c>
      <c r="F81" s="45"/>
      <c r="G81" s="45"/>
      <c r="H81" s="45"/>
      <c r="I81" s="45"/>
      <c r="J81" s="45"/>
      <c r="K81" s="45"/>
      <c r="L81" s="45"/>
      <c r="M81" s="45"/>
      <c r="N81" s="45"/>
      <c r="O81" s="45"/>
      <c r="P81" s="45"/>
      <c r="Q81" s="45"/>
      <c r="R81" s="145" t="s">
        <v>310</v>
      </c>
      <c r="S81" s="144"/>
      <c r="T81" s="45"/>
      <c r="U81" s="45"/>
      <c r="V81" s="45"/>
      <c r="W81" s="45"/>
      <c r="X81" s="45"/>
      <c r="Y81" s="45"/>
      <c r="Z81" s="45"/>
      <c r="AA81" s="45"/>
      <c r="AB81" s="22"/>
      <c r="AC81" s="22"/>
      <c r="AD81" s="22"/>
      <c r="AE81" s="22"/>
      <c r="AF81" s="22"/>
      <c r="AG81" s="22"/>
      <c r="AH81" s="22"/>
      <c r="AI81" s="22"/>
      <c r="AJ81" s="22"/>
      <c r="AK81" s="22"/>
      <c r="AL81" s="22"/>
    </row>
    <row r="82" spans="1:38" ht="15.75" customHeight="1">
      <c r="A82" s="146" t="s">
        <v>139</v>
      </c>
      <c r="B82" s="147" t="s">
        <v>311</v>
      </c>
      <c r="C82" s="148" t="s">
        <v>312</v>
      </c>
      <c r="D82" s="149" t="s">
        <v>312</v>
      </c>
      <c r="E82" s="101" t="str">
        <f t="shared" si="0"/>
        <v>c_machine
Machinery</v>
      </c>
      <c r="F82" s="150"/>
      <c r="G82" s="150"/>
      <c r="H82" s="150"/>
      <c r="I82" s="150"/>
      <c r="J82" s="150"/>
      <c r="K82" s="150"/>
      <c r="L82" s="150"/>
      <c r="M82" s="151"/>
      <c r="N82" s="150"/>
      <c r="O82" s="150"/>
      <c r="P82" s="150"/>
      <c r="Q82" s="150"/>
      <c r="R82" s="151"/>
      <c r="S82" s="152">
        <v>2</v>
      </c>
      <c r="T82" s="150"/>
      <c r="U82" s="150"/>
      <c r="V82" s="150"/>
      <c r="W82" s="150"/>
      <c r="X82" s="150"/>
      <c r="Y82" s="150"/>
      <c r="Z82" s="150"/>
      <c r="AA82" s="150"/>
      <c r="AB82" s="22"/>
      <c r="AC82" s="22"/>
      <c r="AD82" s="22"/>
      <c r="AE82" s="22"/>
      <c r="AF82" s="22"/>
      <c r="AG82" s="22"/>
      <c r="AH82" s="22"/>
      <c r="AI82" s="22"/>
      <c r="AJ82" s="22"/>
      <c r="AK82" s="22"/>
      <c r="AL82" s="22"/>
    </row>
    <row r="83" spans="1:38" ht="15.75" customHeight="1">
      <c r="A83" s="39" t="s">
        <v>35</v>
      </c>
      <c r="B83" s="40" t="s">
        <v>313</v>
      </c>
      <c r="C83" s="41"/>
      <c r="D83" s="41"/>
      <c r="E83" s="101" t="str">
        <f t="shared" si="0"/>
        <v xml:space="preserve">c_machine_index
</v>
      </c>
      <c r="F83" s="45"/>
      <c r="G83" s="45"/>
      <c r="H83" s="45"/>
      <c r="I83" s="45"/>
      <c r="J83" s="45"/>
      <c r="K83" s="45"/>
      <c r="L83" s="45"/>
      <c r="M83" s="45"/>
      <c r="N83" s="45"/>
      <c r="O83" s="45"/>
      <c r="P83" s="45"/>
      <c r="Q83" s="45"/>
      <c r="R83" s="45" t="s">
        <v>188</v>
      </c>
      <c r="S83" s="45"/>
      <c r="T83" s="45"/>
      <c r="U83" s="45"/>
      <c r="V83" s="45"/>
      <c r="W83" s="45"/>
      <c r="X83" s="45"/>
      <c r="Y83" s="45"/>
      <c r="Z83" s="45"/>
      <c r="AA83" s="45"/>
      <c r="AB83" s="22"/>
      <c r="AC83" s="22"/>
      <c r="AD83" s="22"/>
      <c r="AE83" s="22"/>
      <c r="AF83" s="22"/>
      <c r="AG83" s="22"/>
      <c r="AH83" s="22"/>
      <c r="AI83" s="22"/>
      <c r="AJ83" s="22"/>
      <c r="AK83" s="22"/>
      <c r="AL83" s="22"/>
    </row>
    <row r="84" spans="1:38" ht="15.75" customHeight="1">
      <c r="A84" s="39" t="s">
        <v>35</v>
      </c>
      <c r="B84" s="153" t="s">
        <v>314</v>
      </c>
      <c r="C84" s="41" t="s">
        <v>315</v>
      </c>
      <c r="D84" s="41"/>
      <c r="E84" s="101" t="str">
        <f t="shared" si="0"/>
        <v xml:space="preserve">c_machine_id
</v>
      </c>
      <c r="F84" s="45"/>
      <c r="G84" s="45"/>
      <c r="H84" s="45"/>
      <c r="I84" s="45"/>
      <c r="J84" s="45"/>
      <c r="K84" s="45"/>
      <c r="L84" s="45"/>
      <c r="M84" s="45"/>
      <c r="N84" s="46"/>
      <c r="O84" s="46"/>
      <c r="P84" s="45"/>
      <c r="Q84" s="45"/>
      <c r="R84" s="46" t="s">
        <v>316</v>
      </c>
      <c r="S84" s="45"/>
      <c r="T84" s="45"/>
      <c r="U84" s="45"/>
      <c r="V84" s="45"/>
      <c r="W84" s="45"/>
      <c r="X84" s="46"/>
      <c r="Y84" s="46"/>
      <c r="Z84" s="45"/>
      <c r="AA84" s="45"/>
      <c r="AB84" s="22"/>
      <c r="AC84" s="22"/>
      <c r="AD84" s="22"/>
      <c r="AE84" s="22"/>
      <c r="AF84" s="22"/>
      <c r="AG84" s="22"/>
      <c r="AH84" s="22"/>
      <c r="AI84" s="22"/>
      <c r="AJ84" s="22"/>
      <c r="AK84" s="22"/>
      <c r="AL84" s="22"/>
    </row>
    <row r="85" spans="1:38" ht="15.75" customHeight="1">
      <c r="A85" s="39" t="s">
        <v>35</v>
      </c>
      <c r="B85" s="40" t="s">
        <v>317</v>
      </c>
      <c r="C85" s="41" t="s">
        <v>318</v>
      </c>
      <c r="D85" s="41"/>
      <c r="E85" s="101" t="str">
        <f t="shared" si="0"/>
        <v xml:space="preserve">c_machine_name
</v>
      </c>
      <c r="F85" s="45"/>
      <c r="G85" s="45"/>
      <c r="H85" s="45"/>
      <c r="I85" s="45"/>
      <c r="J85" s="45"/>
      <c r="K85" s="45"/>
      <c r="L85" s="45"/>
      <c r="M85" s="45"/>
      <c r="N85" s="45"/>
      <c r="O85" s="45"/>
      <c r="P85" s="45"/>
      <c r="Q85" s="45"/>
      <c r="R85" s="45" t="s">
        <v>319</v>
      </c>
      <c r="S85" s="144"/>
      <c r="T85" s="45"/>
      <c r="U85" s="45"/>
      <c r="V85" s="45"/>
      <c r="W85" s="45"/>
      <c r="X85" s="45"/>
      <c r="Y85" s="45"/>
      <c r="Z85" s="45"/>
      <c r="AA85" s="45"/>
      <c r="AB85" s="22"/>
      <c r="AC85" s="22"/>
      <c r="AD85" s="22"/>
      <c r="AE85" s="22"/>
      <c r="AF85" s="22"/>
      <c r="AG85" s="22"/>
      <c r="AH85" s="22"/>
      <c r="AI85" s="22"/>
      <c r="AJ85" s="22"/>
      <c r="AK85" s="22"/>
      <c r="AL85" s="22"/>
    </row>
    <row r="86" spans="1:38" ht="15.75" customHeight="1">
      <c r="A86" s="154" t="s">
        <v>23</v>
      </c>
      <c r="B86" s="155" t="s">
        <v>320</v>
      </c>
      <c r="C86" s="156" t="s">
        <v>321</v>
      </c>
      <c r="D86" s="157" t="s">
        <v>322</v>
      </c>
      <c r="E86" s="101" t="str">
        <f t="shared" si="0"/>
        <v>c_machine_note
আমি এখন আপনাকে ${c_machine_name} এর ব্যাপারে জিজ্ঞেস করবো</v>
      </c>
      <c r="F86" s="158"/>
      <c r="G86" s="158"/>
      <c r="H86" s="158"/>
      <c r="I86" s="158"/>
      <c r="J86" s="158"/>
      <c r="K86" s="158"/>
      <c r="L86" s="158"/>
      <c r="M86" s="158"/>
      <c r="N86" s="158"/>
      <c r="O86" s="158"/>
      <c r="P86" s="158"/>
      <c r="Q86" s="158"/>
      <c r="R86" s="158"/>
      <c r="S86" s="159"/>
      <c r="T86" s="158"/>
      <c r="U86" s="158"/>
      <c r="V86" s="158"/>
      <c r="W86" s="158"/>
      <c r="X86" s="158"/>
      <c r="Y86" s="158"/>
      <c r="Z86" s="158"/>
      <c r="AA86" s="158"/>
      <c r="AB86" s="22"/>
      <c r="AC86" s="22"/>
      <c r="AD86" s="22"/>
      <c r="AE86" s="22"/>
      <c r="AF86" s="22"/>
      <c r="AG86" s="22"/>
      <c r="AH86" s="22"/>
      <c r="AI86" s="22"/>
      <c r="AJ86" s="22"/>
      <c r="AK86" s="22"/>
      <c r="AL86" s="22"/>
    </row>
    <row r="87" spans="1:38" ht="15.75" customHeight="1">
      <c r="A87" s="7" t="s">
        <v>323</v>
      </c>
      <c r="B87" s="7" t="s">
        <v>324</v>
      </c>
      <c r="C87" s="9" t="s">
        <v>325</v>
      </c>
      <c r="D87" s="160" t="s">
        <v>326</v>
      </c>
      <c r="E87" s="101" t="str">
        <f t="shared" si="0"/>
        <v>c_rent_cost_mach
এই মেশিন প্রতি একর জমিতে ব্যবহার করার জন্য ভাড়া কত?</v>
      </c>
      <c r="F87" s="8" t="s">
        <v>327</v>
      </c>
      <c r="G87" s="8" t="s">
        <v>327</v>
      </c>
      <c r="H87" s="7"/>
      <c r="I87" s="7"/>
      <c r="J87" s="8" t="s">
        <v>328</v>
      </c>
      <c r="K87" s="161" t="s">
        <v>329</v>
      </c>
      <c r="L87" s="161" t="s">
        <v>329</v>
      </c>
      <c r="M87" s="7"/>
      <c r="N87" s="7"/>
      <c r="O87" s="38" t="s">
        <v>54</v>
      </c>
      <c r="P87" s="7"/>
      <c r="Q87" s="7"/>
      <c r="R87" s="7"/>
      <c r="S87" s="7"/>
      <c r="T87" s="7"/>
      <c r="U87" s="7"/>
      <c r="V87" s="7"/>
      <c r="W87" s="7"/>
      <c r="X87" s="7"/>
      <c r="Y87" s="7"/>
      <c r="Z87" s="7"/>
      <c r="AA87" s="7"/>
      <c r="AB87" s="11"/>
      <c r="AC87" s="11"/>
      <c r="AD87" s="11"/>
      <c r="AE87" s="11"/>
      <c r="AF87" s="11"/>
      <c r="AG87" s="11"/>
      <c r="AH87" s="11"/>
      <c r="AI87" s="11"/>
      <c r="AJ87" s="11"/>
      <c r="AK87" s="11"/>
      <c r="AL87" s="11"/>
    </row>
    <row r="88" spans="1:38" ht="15.75" customHeight="1">
      <c r="A88" s="7" t="s">
        <v>323</v>
      </c>
      <c r="B88" s="7" t="s">
        <v>330</v>
      </c>
      <c r="C88" s="74" t="s">
        <v>331</v>
      </c>
      <c r="D88" s="160" t="s">
        <v>332</v>
      </c>
      <c r="E88" s="101" t="str">
        <f t="shared" si="0"/>
        <v>c_fuel_cost_mach
এই মেশিন প্রতি একর জমিতে ব্যবহার করার জন্য জ্বালানী খরচ কত</v>
      </c>
      <c r="F88" s="8" t="s">
        <v>327</v>
      </c>
      <c r="G88" s="8" t="s">
        <v>327</v>
      </c>
      <c r="H88" s="7"/>
      <c r="I88" s="7"/>
      <c r="J88" s="8" t="s">
        <v>328</v>
      </c>
      <c r="K88" s="161" t="s">
        <v>329</v>
      </c>
      <c r="L88" s="161" t="s">
        <v>329</v>
      </c>
      <c r="M88" s="7"/>
      <c r="N88" s="7"/>
      <c r="O88" s="38" t="s">
        <v>54</v>
      </c>
      <c r="P88" s="7"/>
      <c r="Q88" s="7"/>
      <c r="R88" s="7"/>
      <c r="S88" s="7"/>
      <c r="T88" s="7"/>
      <c r="U88" s="7"/>
      <c r="V88" s="7"/>
      <c r="W88" s="7"/>
      <c r="X88" s="7"/>
      <c r="Y88" s="7"/>
      <c r="Z88" s="7"/>
      <c r="AA88" s="7"/>
      <c r="AB88" s="11"/>
      <c r="AC88" s="11"/>
      <c r="AD88" s="11"/>
      <c r="AE88" s="11"/>
      <c r="AF88" s="11"/>
      <c r="AG88" s="11"/>
      <c r="AH88" s="11"/>
      <c r="AI88" s="11"/>
      <c r="AJ88" s="11"/>
      <c r="AK88" s="11"/>
      <c r="AL88" s="11"/>
    </row>
    <row r="89" spans="1:38" ht="15.75" customHeight="1">
      <c r="A89" s="146" t="s">
        <v>178</v>
      </c>
      <c r="B89" s="147" t="s">
        <v>311</v>
      </c>
      <c r="C89" s="148" t="s">
        <v>312</v>
      </c>
      <c r="D89" s="149" t="s">
        <v>312</v>
      </c>
      <c r="E89" s="101" t="str">
        <f t="shared" si="0"/>
        <v>c_machine
Machinery</v>
      </c>
      <c r="F89" s="150"/>
      <c r="G89" s="150"/>
      <c r="H89" s="150"/>
      <c r="I89" s="150"/>
      <c r="J89" s="150"/>
      <c r="K89" s="150"/>
      <c r="L89" s="150"/>
      <c r="M89" s="151"/>
      <c r="N89" s="150"/>
      <c r="O89" s="150"/>
      <c r="P89" s="150"/>
      <c r="Q89" s="150"/>
      <c r="R89" s="151"/>
      <c r="S89" s="152"/>
      <c r="T89" s="150"/>
      <c r="U89" s="150"/>
      <c r="V89" s="150"/>
      <c r="W89" s="150"/>
      <c r="X89" s="150"/>
      <c r="Y89" s="150"/>
      <c r="Z89" s="150"/>
      <c r="AA89" s="150"/>
      <c r="AB89" s="22"/>
      <c r="AC89" s="22"/>
      <c r="AD89" s="22"/>
      <c r="AE89" s="22"/>
      <c r="AF89" s="22"/>
      <c r="AG89" s="22"/>
      <c r="AH89" s="22"/>
      <c r="AI89" s="22"/>
      <c r="AJ89" s="22"/>
      <c r="AK89" s="22"/>
      <c r="AL89" s="22"/>
    </row>
    <row r="90" spans="1:38" ht="15.75" customHeight="1">
      <c r="A90" s="7" t="s">
        <v>323</v>
      </c>
      <c r="B90" s="7" t="s">
        <v>333</v>
      </c>
      <c r="C90" s="74" t="s">
        <v>334</v>
      </c>
      <c r="D90" s="162" t="s">
        <v>335</v>
      </c>
      <c r="E90" s="101" t="str">
        <f t="shared" si="0"/>
        <v>c_mach_cost_plant
রোপণের জন্য প্রতি একর জমিতে মেশিনারিজ/যন্ত্রপাতি ব্যবহার বাবদ খরচ কত?</v>
      </c>
      <c r="F90" s="8"/>
      <c r="G90" s="8"/>
      <c r="H90" s="7"/>
      <c r="I90" s="7"/>
      <c r="J90" s="8" t="s">
        <v>328</v>
      </c>
      <c r="K90" s="161" t="s">
        <v>329</v>
      </c>
      <c r="L90" s="161" t="s">
        <v>329</v>
      </c>
      <c r="M90" s="7"/>
      <c r="N90" s="7"/>
      <c r="O90" s="38" t="s">
        <v>54</v>
      </c>
      <c r="P90" s="7"/>
      <c r="Q90" s="7"/>
      <c r="R90" s="7"/>
      <c r="S90" s="7"/>
      <c r="T90" s="7"/>
      <c r="U90" s="7"/>
      <c r="V90" s="7"/>
      <c r="W90" s="7"/>
      <c r="X90" s="7"/>
      <c r="Y90" s="7"/>
      <c r="Z90" s="7"/>
      <c r="AA90" s="7"/>
      <c r="AB90" s="11"/>
      <c r="AC90" s="11"/>
      <c r="AD90" s="11"/>
      <c r="AE90" s="11"/>
      <c r="AF90" s="11"/>
      <c r="AG90" s="11"/>
      <c r="AH90" s="11"/>
      <c r="AI90" s="11"/>
      <c r="AJ90" s="11"/>
      <c r="AK90" s="11"/>
      <c r="AL90" s="11"/>
    </row>
    <row r="91" spans="1:38" ht="25.5" customHeight="1">
      <c r="A91" s="7" t="s">
        <v>323</v>
      </c>
      <c r="B91" s="8" t="s">
        <v>336</v>
      </c>
      <c r="C91" s="9" t="s">
        <v>337</v>
      </c>
      <c r="D91" s="160" t="s">
        <v>338</v>
      </c>
      <c r="E91" s="101" t="str">
        <f t="shared" si="0"/>
        <v>c_mach_cost_ferti
সার প্রয়োগের জন্য প্রতি একর জমিতে মেশিনারিজ/যন্ত্রপাতি ব্যবহার বাবদ খরচ কত?</v>
      </c>
      <c r="F91" s="86"/>
      <c r="G91" s="8"/>
      <c r="H91" s="8"/>
      <c r="I91" s="136"/>
      <c r="J91" s="8" t="s">
        <v>328</v>
      </c>
      <c r="K91" s="161" t="s">
        <v>329</v>
      </c>
      <c r="L91" s="161" t="s">
        <v>329</v>
      </c>
      <c r="M91" s="8"/>
      <c r="N91" s="8"/>
      <c r="O91" s="38" t="s">
        <v>54</v>
      </c>
      <c r="P91" s="8"/>
      <c r="Q91" s="8"/>
      <c r="R91" s="8"/>
      <c r="S91" s="8"/>
      <c r="T91" s="8"/>
      <c r="U91" s="8"/>
      <c r="V91" s="8"/>
      <c r="W91" s="8"/>
      <c r="X91" s="8"/>
      <c r="Y91" s="8"/>
      <c r="Z91" s="8"/>
      <c r="AA91" s="8"/>
      <c r="AB91" s="11"/>
      <c r="AC91" s="11"/>
      <c r="AD91" s="11"/>
      <c r="AE91" s="11"/>
      <c r="AF91" s="11"/>
      <c r="AG91" s="11"/>
      <c r="AH91" s="11"/>
      <c r="AI91" s="11"/>
      <c r="AJ91" s="11"/>
      <c r="AK91" s="11"/>
      <c r="AL91" s="11"/>
    </row>
    <row r="92" spans="1:38" ht="15.75" customHeight="1">
      <c r="A92" s="7" t="s">
        <v>323</v>
      </c>
      <c r="B92" s="8" t="s">
        <v>339</v>
      </c>
      <c r="C92" s="74" t="s">
        <v>340</v>
      </c>
      <c r="D92" s="160" t="s">
        <v>341</v>
      </c>
      <c r="E92" s="101" t="str">
        <f t="shared" si="0"/>
        <v>c_mach_cost_pest
কীটনাশক প্রয়োগের জন্য প্রতি একর জমিতে মেশিনারিজ/যন্ত্রপাতি ব্যবহার বাবদ খরচ কত?</v>
      </c>
      <c r="F92" s="8"/>
      <c r="G92" s="8"/>
      <c r="H92" s="7"/>
      <c r="I92" s="7"/>
      <c r="J92" s="8" t="s">
        <v>328</v>
      </c>
      <c r="K92" s="161" t="s">
        <v>329</v>
      </c>
      <c r="L92" s="161" t="s">
        <v>329</v>
      </c>
      <c r="M92" s="7"/>
      <c r="N92" s="7"/>
      <c r="O92" s="38" t="s">
        <v>54</v>
      </c>
      <c r="P92" s="7"/>
      <c r="Q92" s="7"/>
      <c r="R92" s="7"/>
      <c r="S92" s="7"/>
      <c r="T92" s="7"/>
      <c r="U92" s="7"/>
      <c r="V92" s="7"/>
      <c r="W92" s="7"/>
      <c r="X92" s="7"/>
      <c r="Y92" s="7"/>
      <c r="Z92" s="7"/>
      <c r="AA92" s="7"/>
      <c r="AB92" s="11"/>
      <c r="AC92" s="11"/>
      <c r="AD92" s="11"/>
      <c r="AE92" s="11"/>
      <c r="AF92" s="11"/>
      <c r="AG92" s="11"/>
      <c r="AH92" s="11"/>
      <c r="AI92" s="11"/>
      <c r="AJ92" s="11"/>
      <c r="AK92" s="11"/>
      <c r="AL92" s="11"/>
    </row>
    <row r="93" spans="1:38" ht="15.75" customHeight="1">
      <c r="A93" s="7" t="s">
        <v>323</v>
      </c>
      <c r="B93" s="7" t="s">
        <v>342</v>
      </c>
      <c r="C93" s="9" t="s">
        <v>343</v>
      </c>
      <c r="D93" s="10" t="s">
        <v>344</v>
      </c>
      <c r="E93" s="101" t="str">
        <f t="shared" si="0"/>
        <v xml:space="preserve">c_mach_cost_weed
ফসল কাটার জন্য প্রতি একর জমিতে মেশিনারিজ/যন্ত্রপাতি (কম্বাইন্ড হারভেস্টার) ব্যবহার বাবদ খরচ কত? </v>
      </c>
      <c r="F93" s="8"/>
      <c r="G93" s="8"/>
      <c r="H93" s="7"/>
      <c r="I93" s="7"/>
      <c r="J93" s="8" t="s">
        <v>328</v>
      </c>
      <c r="K93" s="161" t="s">
        <v>329</v>
      </c>
      <c r="L93" s="161" t="s">
        <v>329</v>
      </c>
      <c r="M93" s="7"/>
      <c r="N93" s="7"/>
      <c r="O93" s="38" t="s">
        <v>54</v>
      </c>
      <c r="P93" s="7"/>
      <c r="Q93" s="7"/>
      <c r="R93" s="7"/>
      <c r="S93" s="7"/>
      <c r="T93" s="7"/>
      <c r="U93" s="7"/>
      <c r="V93" s="7"/>
      <c r="W93" s="7"/>
      <c r="X93" s="7"/>
      <c r="Y93" s="7"/>
      <c r="Z93" s="7"/>
      <c r="AA93" s="7"/>
      <c r="AB93" s="11"/>
      <c r="AC93" s="11"/>
      <c r="AD93" s="11"/>
      <c r="AE93" s="11"/>
      <c r="AF93" s="11"/>
      <c r="AG93" s="11"/>
      <c r="AH93" s="11"/>
      <c r="AI93" s="11"/>
      <c r="AJ93" s="11"/>
      <c r="AK93" s="11"/>
      <c r="AL93" s="11"/>
    </row>
    <row r="94" spans="1:38" ht="25.5" customHeight="1">
      <c r="A94" s="7" t="s">
        <v>323</v>
      </c>
      <c r="B94" s="8" t="s">
        <v>345</v>
      </c>
      <c r="C94" s="9" t="s">
        <v>346</v>
      </c>
      <c r="D94" s="85" t="s">
        <v>347</v>
      </c>
      <c r="E94" s="101" t="str">
        <f t="shared" si="0"/>
        <v xml:space="preserve">c_mach_cost_har
ফসল কাটার জন্য প্রতি একর জমিতে মেশিনারিজ/যন্ত্রপাতি ব্যবহার বাবদ খরচ কত? </v>
      </c>
      <c r="F94" s="86"/>
      <c r="G94" s="8"/>
      <c r="H94" s="8"/>
      <c r="I94" s="136"/>
      <c r="J94" s="8" t="s">
        <v>328</v>
      </c>
      <c r="K94" s="161" t="s">
        <v>329</v>
      </c>
      <c r="L94" s="161" t="s">
        <v>329</v>
      </c>
      <c r="M94" s="8"/>
      <c r="N94" s="8"/>
      <c r="O94" s="38" t="s">
        <v>54</v>
      </c>
      <c r="P94" s="8"/>
      <c r="Q94" s="8"/>
      <c r="R94" s="8"/>
      <c r="S94" s="8"/>
      <c r="T94" s="8"/>
      <c r="U94" s="8"/>
      <c r="V94" s="8"/>
      <c r="W94" s="8"/>
      <c r="X94" s="8"/>
      <c r="Y94" s="8"/>
      <c r="Z94" s="8"/>
      <c r="AA94" s="8"/>
      <c r="AB94" s="11"/>
      <c r="AC94" s="11"/>
      <c r="AD94" s="11"/>
      <c r="AE94" s="11"/>
      <c r="AF94" s="11"/>
      <c r="AG94" s="11"/>
      <c r="AH94" s="11"/>
      <c r="AI94" s="11"/>
      <c r="AJ94" s="11"/>
      <c r="AK94" s="11"/>
      <c r="AL94" s="11"/>
    </row>
    <row r="95" spans="1:38" ht="25.5" customHeight="1">
      <c r="A95" s="7" t="s">
        <v>323</v>
      </c>
      <c r="B95" s="12" t="s">
        <v>348</v>
      </c>
      <c r="C95" s="74" t="s">
        <v>349</v>
      </c>
      <c r="D95" s="163" t="s">
        <v>350</v>
      </c>
      <c r="E95" s="101" t="str">
        <f t="shared" si="0"/>
        <v>c_mach_cost_reaper
ফসল কাটার জন্য প্রতি একর জমিতে মেশিনারিজ/যন্ত্রপাতি (রিপার) ব্যবহার বাবদ খরচ কত?</v>
      </c>
      <c r="F95" s="86"/>
      <c r="G95" s="12"/>
      <c r="H95" s="12"/>
      <c r="I95" s="121"/>
      <c r="J95" s="12"/>
      <c r="K95" s="86"/>
      <c r="L95" s="86"/>
      <c r="M95" s="12"/>
      <c r="N95" s="12"/>
      <c r="O95" s="38" t="s">
        <v>54</v>
      </c>
      <c r="P95" s="12"/>
      <c r="Q95" s="12"/>
      <c r="R95" s="128"/>
      <c r="S95" s="129"/>
      <c r="T95" s="12"/>
      <c r="U95" s="12"/>
      <c r="V95" s="12"/>
      <c r="W95" s="12"/>
      <c r="X95" s="12"/>
      <c r="Y95" s="12"/>
      <c r="Z95" s="12"/>
      <c r="AA95" s="12"/>
      <c r="AB95" s="11"/>
      <c r="AC95" s="11"/>
      <c r="AD95" s="11"/>
      <c r="AE95" s="11"/>
      <c r="AF95" s="11"/>
      <c r="AG95" s="11"/>
      <c r="AH95" s="11"/>
      <c r="AI95" s="11"/>
      <c r="AJ95" s="11"/>
      <c r="AK95" s="11"/>
      <c r="AL95" s="11"/>
    </row>
    <row r="96" spans="1:38" ht="25.5" customHeight="1">
      <c r="A96" s="7" t="s">
        <v>23</v>
      </c>
      <c r="B96" s="12" t="s">
        <v>351</v>
      </c>
      <c r="C96" s="74" t="s">
        <v>352</v>
      </c>
      <c r="D96" s="85" t="s">
        <v>353</v>
      </c>
      <c r="E96" s="101" t="str">
        <f t="shared" si="0"/>
        <v>c_season_enum
তথ্য সংগ্রহকারীর জন্যঃ এখন তিন মৌসুমে শ্রমের মজুরির ব্যাপারে প্রশ্ন আসবে</v>
      </c>
      <c r="F96" s="86"/>
      <c r="G96" s="12"/>
      <c r="H96" s="12"/>
      <c r="I96" s="121"/>
      <c r="J96" s="12"/>
      <c r="K96" s="86"/>
      <c r="L96" s="86"/>
      <c r="M96" s="12"/>
      <c r="N96" s="12"/>
      <c r="O96" s="12"/>
      <c r="P96" s="12"/>
      <c r="Q96" s="12"/>
      <c r="R96" s="128"/>
      <c r="S96" s="129"/>
      <c r="T96" s="12"/>
      <c r="U96" s="12"/>
      <c r="V96" s="12"/>
      <c r="W96" s="12"/>
      <c r="X96" s="12"/>
      <c r="Y96" s="12"/>
      <c r="Z96" s="12"/>
      <c r="AA96" s="12"/>
      <c r="AB96" s="11"/>
      <c r="AC96" s="11"/>
      <c r="AD96" s="11"/>
      <c r="AE96" s="11"/>
      <c r="AF96" s="11"/>
      <c r="AG96" s="11"/>
      <c r="AH96" s="11"/>
      <c r="AI96" s="11"/>
      <c r="AJ96" s="11"/>
      <c r="AK96" s="11"/>
      <c r="AL96" s="11"/>
    </row>
    <row r="97" spans="1:38" ht="25.5" customHeight="1">
      <c r="A97" s="7" t="s">
        <v>35</v>
      </c>
      <c r="B97" s="12" t="s">
        <v>354</v>
      </c>
      <c r="C97" s="74"/>
      <c r="D97" s="85"/>
      <c r="E97" s="101" t="str">
        <f t="shared" si="0"/>
        <v xml:space="preserve">season_list
</v>
      </c>
      <c r="F97" s="86"/>
      <c r="G97" s="12"/>
      <c r="H97" s="12"/>
      <c r="I97" s="121"/>
      <c r="J97" s="12"/>
      <c r="K97" s="86"/>
      <c r="L97" s="86"/>
      <c r="M97" s="12"/>
      <c r="N97" s="12"/>
      <c r="O97" s="12"/>
      <c r="P97" s="12"/>
      <c r="Q97" s="12"/>
      <c r="R97" s="164" t="s">
        <v>355</v>
      </c>
      <c r="S97" s="129"/>
      <c r="T97" s="12"/>
      <c r="U97" s="12"/>
      <c r="V97" s="12"/>
      <c r="W97" s="12"/>
      <c r="X97" s="12"/>
      <c r="Y97" s="12"/>
      <c r="Z97" s="12"/>
      <c r="AA97" s="12"/>
      <c r="AB97" s="11"/>
      <c r="AC97" s="11"/>
      <c r="AD97" s="11"/>
      <c r="AE97" s="11"/>
      <c r="AF97" s="11"/>
      <c r="AG97" s="11"/>
      <c r="AH97" s="11"/>
      <c r="AI97" s="11"/>
      <c r="AJ97" s="11"/>
      <c r="AK97" s="11"/>
      <c r="AL97" s="11"/>
    </row>
    <row r="98" spans="1:38" ht="25.5" customHeight="1">
      <c r="A98" s="7" t="s">
        <v>35</v>
      </c>
      <c r="B98" s="12" t="s">
        <v>356</v>
      </c>
      <c r="C98" s="74"/>
      <c r="D98" s="85"/>
      <c r="E98" s="101" t="str">
        <f t="shared" si="0"/>
        <v xml:space="preserve">c_name_list
</v>
      </c>
      <c r="F98" s="86"/>
      <c r="G98" s="12"/>
      <c r="H98" s="12"/>
      <c r="I98" s="121"/>
      <c r="J98" s="12"/>
      <c r="K98" s="86"/>
      <c r="L98" s="86"/>
      <c r="M98" s="12"/>
      <c r="N98" s="12"/>
      <c r="O98" s="12"/>
      <c r="P98" s="12"/>
      <c r="Q98" s="12"/>
      <c r="R98" s="164" t="s">
        <v>357</v>
      </c>
      <c r="S98" s="129"/>
      <c r="T98" s="12"/>
      <c r="U98" s="12"/>
      <c r="V98" s="12"/>
      <c r="W98" s="12"/>
      <c r="X98" s="12"/>
      <c r="Y98" s="12"/>
      <c r="Z98" s="12"/>
      <c r="AA98" s="12"/>
      <c r="AB98" s="11"/>
      <c r="AC98" s="11"/>
      <c r="AD98" s="11"/>
      <c r="AE98" s="11"/>
      <c r="AF98" s="11"/>
      <c r="AG98" s="11"/>
      <c r="AH98" s="11"/>
      <c r="AI98" s="11"/>
      <c r="AJ98" s="11"/>
      <c r="AK98" s="11"/>
      <c r="AL98" s="11"/>
    </row>
    <row r="99" spans="1:38" ht="25.5" customHeight="1">
      <c r="A99" s="7" t="s">
        <v>139</v>
      </c>
      <c r="B99" s="12" t="s">
        <v>358</v>
      </c>
      <c r="C99" s="74" t="s">
        <v>359</v>
      </c>
      <c r="D99" s="74" t="s">
        <v>359</v>
      </c>
      <c r="E99" s="101" t="str">
        <f t="shared" si="0"/>
        <v>c_season_repeat
Season repeat for wage questions</v>
      </c>
      <c r="F99" s="86"/>
      <c r="G99" s="12"/>
      <c r="H99" s="12"/>
      <c r="I99" s="121"/>
      <c r="J99" s="12"/>
      <c r="K99" s="86"/>
      <c r="L99" s="86"/>
      <c r="M99" s="12"/>
      <c r="N99" s="12"/>
      <c r="O99" s="12"/>
      <c r="P99" s="12"/>
      <c r="Q99" s="12"/>
      <c r="R99" s="128"/>
      <c r="S99" s="129">
        <v>3</v>
      </c>
      <c r="T99" s="12"/>
      <c r="U99" s="12"/>
      <c r="V99" s="12"/>
      <c r="W99" s="12"/>
      <c r="X99" s="12"/>
      <c r="Y99" s="12"/>
      <c r="Z99" s="12"/>
      <c r="AA99" s="12"/>
      <c r="AB99" s="11"/>
      <c r="AC99" s="11"/>
      <c r="AD99" s="11"/>
      <c r="AE99" s="11"/>
      <c r="AF99" s="11"/>
      <c r="AG99" s="11"/>
      <c r="AH99" s="11"/>
      <c r="AI99" s="11"/>
      <c r="AJ99" s="11"/>
      <c r="AK99" s="11"/>
      <c r="AL99" s="11"/>
    </row>
    <row r="100" spans="1:38" ht="25.5" customHeight="1">
      <c r="A100" s="7" t="s">
        <v>35</v>
      </c>
      <c r="B100" s="12" t="s">
        <v>360</v>
      </c>
      <c r="C100" s="74"/>
      <c r="D100" s="85"/>
      <c r="E100" s="101" t="str">
        <f t="shared" si="0"/>
        <v xml:space="preserve">c_season_index
</v>
      </c>
      <c r="F100" s="86"/>
      <c r="G100" s="12"/>
      <c r="H100" s="12"/>
      <c r="I100" s="121"/>
      <c r="J100" s="12"/>
      <c r="K100" s="86"/>
      <c r="L100" s="86"/>
      <c r="M100" s="12"/>
      <c r="N100" s="12"/>
      <c r="O100" s="12"/>
      <c r="P100" s="12"/>
      <c r="Q100" s="12"/>
      <c r="R100" s="128" t="s">
        <v>188</v>
      </c>
      <c r="S100" s="129"/>
      <c r="T100" s="12"/>
      <c r="U100" s="12"/>
      <c r="V100" s="12"/>
      <c r="W100" s="12"/>
      <c r="X100" s="12"/>
      <c r="Y100" s="12"/>
      <c r="Z100" s="12"/>
      <c r="AA100" s="12"/>
      <c r="AB100" s="11"/>
      <c r="AC100" s="11"/>
      <c r="AD100" s="11"/>
      <c r="AE100" s="11"/>
      <c r="AF100" s="11"/>
      <c r="AG100" s="11"/>
      <c r="AH100" s="11"/>
      <c r="AI100" s="11"/>
      <c r="AJ100" s="11"/>
      <c r="AK100" s="11"/>
      <c r="AL100" s="11"/>
    </row>
    <row r="101" spans="1:38" ht="25.5" customHeight="1">
      <c r="A101" s="7" t="s">
        <v>35</v>
      </c>
      <c r="B101" s="12" t="s">
        <v>361</v>
      </c>
      <c r="C101" s="74" t="s">
        <v>362</v>
      </c>
      <c r="D101" s="85"/>
      <c r="E101" s="101" t="str">
        <f t="shared" si="0"/>
        <v xml:space="preserve">c_season_id
</v>
      </c>
      <c r="F101" s="86"/>
      <c r="G101" s="12"/>
      <c r="H101" s="12"/>
      <c r="I101" s="121"/>
      <c r="J101" s="12"/>
      <c r="K101" s="86"/>
      <c r="L101" s="86"/>
      <c r="M101" s="12"/>
      <c r="N101" s="12"/>
      <c r="O101" s="12"/>
      <c r="P101" s="12"/>
      <c r="Q101" s="12"/>
      <c r="R101" s="128" t="s">
        <v>363</v>
      </c>
      <c r="S101" s="129"/>
      <c r="T101" s="12"/>
      <c r="U101" s="12"/>
      <c r="V101" s="12"/>
      <c r="W101" s="12"/>
      <c r="X101" s="12"/>
      <c r="Y101" s="12"/>
      <c r="Z101" s="12"/>
      <c r="AA101" s="12"/>
      <c r="AB101" s="11"/>
      <c r="AC101" s="11"/>
      <c r="AD101" s="11"/>
      <c r="AE101" s="11"/>
      <c r="AF101" s="11"/>
      <c r="AG101" s="11"/>
      <c r="AH101" s="11"/>
      <c r="AI101" s="11"/>
      <c r="AJ101" s="11"/>
      <c r="AK101" s="11"/>
      <c r="AL101" s="11"/>
    </row>
    <row r="102" spans="1:38" ht="25.5" customHeight="1">
      <c r="A102" s="7" t="s">
        <v>35</v>
      </c>
      <c r="B102" s="12" t="s">
        <v>364</v>
      </c>
      <c r="C102" s="74" t="s">
        <v>365</v>
      </c>
      <c r="D102" s="85"/>
      <c r="E102" s="101" t="str">
        <f t="shared" si="0"/>
        <v xml:space="preserve">c_season_name
</v>
      </c>
      <c r="F102" s="86"/>
      <c r="G102" s="12"/>
      <c r="H102" s="12"/>
      <c r="I102" s="121"/>
      <c r="J102" s="12"/>
      <c r="K102" s="86"/>
      <c r="L102" s="86"/>
      <c r="M102" s="12"/>
      <c r="N102" s="12"/>
      <c r="O102" s="12"/>
      <c r="P102" s="12"/>
      <c r="Q102" s="12"/>
      <c r="R102" s="128" t="s">
        <v>366</v>
      </c>
      <c r="S102" s="129"/>
      <c r="T102" s="12"/>
      <c r="U102" s="12"/>
      <c r="V102" s="12"/>
      <c r="W102" s="12"/>
      <c r="X102" s="12"/>
      <c r="Y102" s="12"/>
      <c r="Z102" s="12"/>
      <c r="AA102" s="12"/>
      <c r="AB102" s="11"/>
      <c r="AC102" s="11"/>
      <c r="AD102" s="11"/>
      <c r="AE102" s="11"/>
      <c r="AF102" s="11"/>
      <c r="AG102" s="11"/>
      <c r="AH102" s="11"/>
      <c r="AI102" s="11"/>
      <c r="AJ102" s="11"/>
      <c r="AK102" s="11"/>
      <c r="AL102" s="11"/>
    </row>
    <row r="103" spans="1:38" ht="25.5" customHeight="1">
      <c r="A103" s="7" t="s">
        <v>23</v>
      </c>
      <c r="B103" s="12" t="s">
        <v>367</v>
      </c>
      <c r="C103" s="74" t="s">
        <v>368</v>
      </c>
      <c r="D103" s="85" t="s">
        <v>369</v>
      </c>
      <c r="E103" s="101" t="str">
        <f t="shared" si="0"/>
        <v>c_season_note
আমি এখন আপনাকে ${c_season_name} এ  শ্রমের মজুরির ব্যাপারে জিজ্ঞেস করবো</v>
      </c>
      <c r="F103" s="86"/>
      <c r="G103" s="12"/>
      <c r="H103" s="12"/>
      <c r="I103" s="121"/>
      <c r="J103" s="12"/>
      <c r="K103" s="86"/>
      <c r="L103" s="86"/>
      <c r="M103" s="12"/>
      <c r="N103" s="12"/>
      <c r="O103" s="12"/>
      <c r="P103" s="12"/>
      <c r="Q103" s="12"/>
      <c r="R103" s="128"/>
      <c r="S103" s="129"/>
      <c r="T103" s="12"/>
      <c r="U103" s="12"/>
      <c r="V103" s="12"/>
      <c r="W103" s="12"/>
      <c r="X103" s="12"/>
      <c r="Y103" s="12"/>
      <c r="Z103" s="12"/>
      <c r="AA103" s="12"/>
      <c r="AB103" s="11"/>
      <c r="AC103" s="11"/>
      <c r="AD103" s="11"/>
      <c r="AE103" s="11"/>
      <c r="AF103" s="11"/>
      <c r="AG103" s="11"/>
      <c r="AH103" s="11"/>
      <c r="AI103" s="11"/>
      <c r="AJ103" s="11"/>
      <c r="AK103" s="11"/>
      <c r="AL103" s="11"/>
    </row>
    <row r="104" spans="1:38" ht="25.5" customHeight="1">
      <c r="A104" s="7" t="s">
        <v>218</v>
      </c>
      <c r="B104" s="12" t="s">
        <v>370</v>
      </c>
      <c r="C104" s="74" t="s">
        <v>371</v>
      </c>
      <c r="D104" s="85" t="s">
        <v>372</v>
      </c>
      <c r="E104" s="101" t="str">
        <f t="shared" si="0"/>
        <v>c_wage_sowing
রোপন/বপনের সময়</v>
      </c>
      <c r="F104" s="86"/>
      <c r="G104" s="12"/>
      <c r="H104" s="12"/>
      <c r="I104" s="121"/>
      <c r="J104" s="12"/>
      <c r="K104" s="86"/>
      <c r="L104" s="86"/>
      <c r="M104" s="12"/>
      <c r="N104" s="12"/>
      <c r="O104" s="12"/>
      <c r="P104" s="12"/>
      <c r="Q104" s="12"/>
      <c r="R104" s="128"/>
      <c r="S104" s="129"/>
      <c r="T104" s="12"/>
      <c r="U104" s="12"/>
      <c r="V104" s="12"/>
      <c r="W104" s="12"/>
      <c r="X104" s="12"/>
      <c r="Y104" s="12"/>
      <c r="Z104" s="12"/>
      <c r="AA104" s="12"/>
      <c r="AB104" s="11"/>
      <c r="AC104" s="11"/>
      <c r="AD104" s="11"/>
      <c r="AE104" s="11"/>
      <c r="AF104" s="11"/>
      <c r="AG104" s="11"/>
      <c r="AH104" s="11"/>
      <c r="AI104" s="11"/>
      <c r="AJ104" s="11"/>
      <c r="AK104" s="11"/>
      <c r="AL104" s="11"/>
    </row>
    <row r="105" spans="1:38" ht="25.5" customHeight="1">
      <c r="A105" s="7" t="s">
        <v>373</v>
      </c>
      <c r="B105" s="12" t="s">
        <v>374</v>
      </c>
      <c r="C105" s="74" t="s">
        <v>375</v>
      </c>
      <c r="D105" s="85" t="s">
        <v>376</v>
      </c>
      <c r="E105" s="101" t="str">
        <f t="shared" si="0"/>
        <v>c_lab_avail_sow
প্রয়োজনমত মজুরের প্রাপ্যতা</v>
      </c>
      <c r="F105" s="86"/>
      <c r="G105" s="165" t="s">
        <v>372</v>
      </c>
      <c r="H105" s="12"/>
      <c r="I105" s="121"/>
      <c r="J105" s="12"/>
      <c r="K105" s="86"/>
      <c r="L105" s="86"/>
      <c r="M105" s="12"/>
      <c r="N105" s="12"/>
      <c r="O105" s="38" t="s">
        <v>54</v>
      </c>
      <c r="P105" s="12"/>
      <c r="Q105" s="12"/>
      <c r="R105" s="128"/>
      <c r="S105" s="129"/>
      <c r="T105" s="12"/>
      <c r="U105" s="12"/>
      <c r="V105" s="12"/>
      <c r="W105" s="12"/>
      <c r="X105" s="12"/>
      <c r="Y105" s="12"/>
      <c r="Z105" s="12"/>
      <c r="AA105" s="12"/>
      <c r="AB105" s="11"/>
      <c r="AC105" s="11"/>
      <c r="AD105" s="11"/>
      <c r="AE105" s="11"/>
      <c r="AF105" s="11"/>
      <c r="AG105" s="11"/>
      <c r="AH105" s="11"/>
      <c r="AI105" s="11"/>
      <c r="AJ105" s="11"/>
      <c r="AK105" s="11"/>
      <c r="AL105" s="11"/>
    </row>
    <row r="106" spans="1:38" ht="25.5" customHeight="1">
      <c r="A106" s="7" t="s">
        <v>323</v>
      </c>
      <c r="B106" s="12" t="s">
        <v>377</v>
      </c>
      <c r="C106" s="74" t="s">
        <v>378</v>
      </c>
      <c r="D106" s="166" t="s">
        <v>379</v>
      </c>
      <c r="E106" s="101" t="str">
        <f t="shared" si="0"/>
        <v>c_lab_hours_sow
দৈনিক কত ঘন্টা কাজ করে</v>
      </c>
      <c r="F106" s="86"/>
      <c r="G106" s="165" t="s">
        <v>372</v>
      </c>
      <c r="H106" s="12"/>
      <c r="I106" s="121"/>
      <c r="J106" s="12"/>
      <c r="K106" s="86"/>
      <c r="L106" s="86"/>
      <c r="M106" s="91" t="s">
        <v>380</v>
      </c>
      <c r="N106" s="12"/>
      <c r="O106" s="38" t="s">
        <v>54</v>
      </c>
      <c r="P106" s="12"/>
      <c r="Q106" s="12"/>
      <c r="R106" s="128"/>
      <c r="S106" s="129"/>
      <c r="T106" s="12"/>
      <c r="U106" s="12"/>
      <c r="V106" s="12"/>
      <c r="W106" s="12"/>
      <c r="X106" s="12"/>
      <c r="Y106" s="12"/>
      <c r="Z106" s="12"/>
      <c r="AA106" s="12"/>
      <c r="AB106" s="11"/>
      <c r="AC106" s="11"/>
      <c r="AD106" s="11"/>
      <c r="AE106" s="11"/>
      <c r="AF106" s="11"/>
      <c r="AG106" s="11"/>
      <c r="AH106" s="11"/>
      <c r="AI106" s="11"/>
      <c r="AJ106" s="11"/>
      <c r="AK106" s="11"/>
      <c r="AL106" s="11"/>
    </row>
    <row r="107" spans="1:38" ht="25.5" customHeight="1">
      <c r="A107" s="7" t="s">
        <v>323</v>
      </c>
      <c r="B107" s="12" t="s">
        <v>381</v>
      </c>
      <c r="C107" s="74" t="s">
        <v>382</v>
      </c>
      <c r="D107" s="167" t="s">
        <v>383</v>
      </c>
      <c r="E107" s="101" t="str">
        <f t="shared" si="0"/>
        <v>c_lab_wage_sow
দৈনিক মজুরী (টাকা)</v>
      </c>
      <c r="F107" s="86"/>
      <c r="G107" s="165" t="s">
        <v>372</v>
      </c>
      <c r="H107" s="12"/>
      <c r="I107" s="121"/>
      <c r="J107" s="12"/>
      <c r="K107" s="86"/>
      <c r="L107" s="86"/>
      <c r="M107" s="91" t="s">
        <v>380</v>
      </c>
      <c r="N107" s="12"/>
      <c r="O107" s="38" t="s">
        <v>54</v>
      </c>
      <c r="P107" s="12"/>
      <c r="Q107" s="12"/>
      <c r="R107" s="128"/>
      <c r="S107" s="129"/>
      <c r="T107" s="12"/>
      <c r="U107" s="12"/>
      <c r="V107" s="12"/>
      <c r="W107" s="12"/>
      <c r="X107" s="12"/>
      <c r="Y107" s="12"/>
      <c r="Z107" s="12"/>
      <c r="AA107" s="12"/>
      <c r="AB107" s="11"/>
      <c r="AC107" s="11"/>
      <c r="AD107" s="11"/>
      <c r="AE107" s="11"/>
      <c r="AF107" s="11"/>
      <c r="AG107" s="11"/>
      <c r="AH107" s="11"/>
      <c r="AI107" s="11"/>
      <c r="AJ107" s="11"/>
      <c r="AK107" s="11"/>
      <c r="AL107" s="11"/>
    </row>
    <row r="108" spans="1:38" ht="25.5" customHeight="1">
      <c r="A108" s="7" t="s">
        <v>323</v>
      </c>
      <c r="B108" s="12" t="s">
        <v>384</v>
      </c>
      <c r="C108" s="74" t="s">
        <v>385</v>
      </c>
      <c r="D108" s="167" t="s">
        <v>386</v>
      </c>
      <c r="E108" s="101" t="str">
        <f t="shared" si="0"/>
        <v>c_lab_food_sow
দৈনিক খাবার খরচ (টাকা)</v>
      </c>
      <c r="F108" s="86"/>
      <c r="G108" s="165" t="s">
        <v>372</v>
      </c>
      <c r="H108" s="12"/>
      <c r="I108" s="121"/>
      <c r="J108" s="12"/>
      <c r="K108" s="86"/>
      <c r="L108" s="86"/>
      <c r="M108" s="91" t="s">
        <v>380</v>
      </c>
      <c r="N108" s="12"/>
      <c r="O108" s="38" t="s">
        <v>54</v>
      </c>
      <c r="P108" s="12"/>
      <c r="Q108" s="12"/>
      <c r="R108" s="128"/>
      <c r="S108" s="129"/>
      <c r="T108" s="12"/>
      <c r="U108" s="12"/>
      <c r="V108" s="12"/>
      <c r="W108" s="12"/>
      <c r="X108" s="12"/>
      <c r="Y108" s="12"/>
      <c r="Z108" s="12"/>
      <c r="AA108" s="12"/>
      <c r="AB108" s="11"/>
      <c r="AC108" s="11"/>
      <c r="AD108" s="11"/>
      <c r="AE108" s="11"/>
      <c r="AF108" s="11"/>
      <c r="AG108" s="11"/>
      <c r="AH108" s="11"/>
      <c r="AI108" s="11"/>
      <c r="AJ108" s="11"/>
      <c r="AK108" s="11"/>
      <c r="AL108" s="11"/>
    </row>
    <row r="109" spans="1:38" ht="25.5" customHeight="1">
      <c r="A109" s="7" t="s">
        <v>323</v>
      </c>
      <c r="B109" s="12" t="s">
        <v>387</v>
      </c>
      <c r="C109" s="74" t="s">
        <v>388</v>
      </c>
      <c r="D109" s="167" t="s">
        <v>389</v>
      </c>
      <c r="E109" s="101" t="str">
        <f t="shared" si="0"/>
        <v>c_contract_sow
চুক্তি ভিত্তিক, একর প্রতি মোট খরচের পরিমান (টাকা)</v>
      </c>
      <c r="F109" s="86"/>
      <c r="G109" s="165" t="s">
        <v>372</v>
      </c>
      <c r="H109" s="12"/>
      <c r="I109" s="121"/>
      <c r="J109" s="12"/>
      <c r="K109" s="86"/>
      <c r="L109" s="86"/>
      <c r="M109" s="91" t="s">
        <v>380</v>
      </c>
      <c r="N109" s="12"/>
      <c r="O109" s="38" t="s">
        <v>54</v>
      </c>
      <c r="P109" s="12"/>
      <c r="Q109" s="12"/>
      <c r="R109" s="128"/>
      <c r="S109" s="129"/>
      <c r="T109" s="12"/>
      <c r="U109" s="12"/>
      <c r="V109" s="12"/>
      <c r="W109" s="12"/>
      <c r="X109" s="12"/>
      <c r="Y109" s="12"/>
      <c r="Z109" s="12"/>
      <c r="AA109" s="12"/>
      <c r="AB109" s="11"/>
      <c r="AC109" s="11"/>
      <c r="AD109" s="11"/>
      <c r="AE109" s="11"/>
      <c r="AF109" s="11"/>
      <c r="AG109" s="11"/>
      <c r="AH109" s="11"/>
      <c r="AI109" s="11"/>
      <c r="AJ109" s="11"/>
      <c r="AK109" s="11"/>
      <c r="AL109" s="11"/>
    </row>
    <row r="110" spans="1:38" ht="25.5" customHeight="1">
      <c r="A110" s="7" t="s">
        <v>390</v>
      </c>
      <c r="B110" s="12" t="s">
        <v>370</v>
      </c>
      <c r="C110" s="74" t="s">
        <v>371</v>
      </c>
      <c r="D110" s="166" t="s">
        <v>372</v>
      </c>
      <c r="E110" s="101" t="str">
        <f t="shared" si="0"/>
        <v>c_wage_sowing
রোপন/বপনের সময়</v>
      </c>
      <c r="F110" s="86"/>
      <c r="G110" s="12"/>
      <c r="H110" s="12"/>
      <c r="I110" s="121"/>
      <c r="J110" s="12"/>
      <c r="K110" s="86"/>
      <c r="L110" s="86"/>
      <c r="M110" s="12"/>
      <c r="N110" s="12"/>
      <c r="O110" s="12"/>
      <c r="P110" s="12"/>
      <c r="Q110" s="12"/>
      <c r="R110" s="128"/>
      <c r="S110" s="129"/>
      <c r="T110" s="12"/>
      <c r="U110" s="12"/>
      <c r="V110" s="12"/>
      <c r="W110" s="12"/>
      <c r="X110" s="12"/>
      <c r="Y110" s="12"/>
      <c r="Z110" s="12"/>
      <c r="AA110" s="12"/>
      <c r="AB110" s="11"/>
      <c r="AC110" s="11"/>
      <c r="AD110" s="11"/>
      <c r="AE110" s="11"/>
      <c r="AF110" s="11"/>
      <c r="AG110" s="11"/>
      <c r="AH110" s="11"/>
      <c r="AI110" s="11"/>
      <c r="AJ110" s="11"/>
      <c r="AK110" s="11"/>
      <c r="AL110" s="11"/>
    </row>
    <row r="111" spans="1:38" ht="25.5" customHeight="1">
      <c r="A111" s="7" t="s">
        <v>218</v>
      </c>
      <c r="B111" s="12" t="s">
        <v>391</v>
      </c>
      <c r="C111" s="74" t="s">
        <v>392</v>
      </c>
      <c r="D111" s="166" t="s">
        <v>393</v>
      </c>
      <c r="E111" s="101" t="str">
        <f t="shared" si="0"/>
        <v>c_wage_weed
নিড়ানীর সময়</v>
      </c>
      <c r="F111" s="86"/>
      <c r="G111" s="12"/>
      <c r="H111" s="12"/>
      <c r="I111" s="121"/>
      <c r="J111" s="12"/>
      <c r="K111" s="86"/>
      <c r="L111" s="86"/>
      <c r="M111" s="12"/>
      <c r="N111" s="12"/>
      <c r="O111" s="12"/>
      <c r="P111" s="12"/>
      <c r="Q111" s="12"/>
      <c r="R111" s="128"/>
      <c r="S111" s="129"/>
      <c r="T111" s="12"/>
      <c r="U111" s="12"/>
      <c r="V111" s="12"/>
      <c r="W111" s="12"/>
      <c r="X111" s="12"/>
      <c r="Y111" s="12"/>
      <c r="Z111" s="12"/>
      <c r="AA111" s="12"/>
      <c r="AB111" s="11"/>
      <c r="AC111" s="11"/>
      <c r="AD111" s="11"/>
      <c r="AE111" s="11"/>
      <c r="AF111" s="11"/>
      <c r="AG111" s="11"/>
      <c r="AH111" s="11"/>
      <c r="AI111" s="11"/>
      <c r="AJ111" s="11"/>
      <c r="AK111" s="11"/>
      <c r="AL111" s="11"/>
    </row>
    <row r="112" spans="1:38" ht="25.5" customHeight="1">
      <c r="A112" s="7" t="s">
        <v>373</v>
      </c>
      <c r="B112" s="12" t="s">
        <v>394</v>
      </c>
      <c r="C112" s="74" t="s">
        <v>375</v>
      </c>
      <c r="D112" s="75" t="s">
        <v>376</v>
      </c>
      <c r="E112" s="101" t="str">
        <f t="shared" si="0"/>
        <v>c_lab_avail_weed
প্রয়োজনমত মজুরের প্রাপ্যতা</v>
      </c>
      <c r="F112" s="86"/>
      <c r="G112" s="168" t="s">
        <v>393</v>
      </c>
      <c r="H112" s="12"/>
      <c r="I112" s="121"/>
      <c r="J112" s="12"/>
      <c r="K112" s="86"/>
      <c r="L112" s="86"/>
      <c r="M112" s="12"/>
      <c r="N112" s="12"/>
      <c r="O112" s="38" t="s">
        <v>54</v>
      </c>
      <c r="P112" s="12"/>
      <c r="Q112" s="12"/>
      <c r="R112" s="128"/>
      <c r="S112" s="129"/>
      <c r="T112" s="12"/>
      <c r="U112" s="12"/>
      <c r="V112" s="12"/>
      <c r="W112" s="12"/>
      <c r="X112" s="12"/>
      <c r="Y112" s="12"/>
      <c r="Z112" s="12"/>
      <c r="AA112" s="12"/>
      <c r="AB112" s="11"/>
      <c r="AC112" s="11"/>
      <c r="AD112" s="11"/>
      <c r="AE112" s="11"/>
      <c r="AF112" s="11"/>
      <c r="AG112" s="11"/>
      <c r="AH112" s="11"/>
      <c r="AI112" s="11"/>
      <c r="AJ112" s="11"/>
      <c r="AK112" s="11"/>
      <c r="AL112" s="11"/>
    </row>
    <row r="113" spans="1:38" ht="25.5" customHeight="1">
      <c r="A113" s="7" t="s">
        <v>323</v>
      </c>
      <c r="B113" s="12" t="s">
        <v>395</v>
      </c>
      <c r="C113" s="74" t="s">
        <v>378</v>
      </c>
      <c r="D113" s="166" t="s">
        <v>379</v>
      </c>
      <c r="E113" s="101" t="str">
        <f t="shared" si="0"/>
        <v>c_lab_hours_weed
দৈনিক কত ঘন্টা কাজ করে</v>
      </c>
      <c r="F113" s="86"/>
      <c r="G113" s="168" t="s">
        <v>393</v>
      </c>
      <c r="H113" s="12"/>
      <c r="I113" s="121"/>
      <c r="J113" s="12"/>
      <c r="K113" s="86"/>
      <c r="L113" s="86"/>
      <c r="M113" s="12" t="s">
        <v>396</v>
      </c>
      <c r="N113" s="12"/>
      <c r="O113" s="38" t="s">
        <v>54</v>
      </c>
      <c r="P113" s="12"/>
      <c r="Q113" s="12"/>
      <c r="R113" s="128"/>
      <c r="S113" s="129"/>
      <c r="T113" s="12"/>
      <c r="U113" s="12"/>
      <c r="V113" s="12"/>
      <c r="W113" s="12"/>
      <c r="X113" s="12"/>
      <c r="Y113" s="12"/>
      <c r="Z113" s="12"/>
      <c r="AA113" s="12"/>
      <c r="AB113" s="11"/>
      <c r="AC113" s="11"/>
      <c r="AD113" s="11"/>
      <c r="AE113" s="11"/>
      <c r="AF113" s="11"/>
      <c r="AG113" s="11"/>
      <c r="AH113" s="11"/>
      <c r="AI113" s="11"/>
      <c r="AJ113" s="11"/>
      <c r="AK113" s="11"/>
      <c r="AL113" s="11"/>
    </row>
    <row r="114" spans="1:38" ht="25.5" customHeight="1">
      <c r="A114" s="7" t="s">
        <v>323</v>
      </c>
      <c r="B114" s="12" t="s">
        <v>397</v>
      </c>
      <c r="C114" s="74" t="s">
        <v>382</v>
      </c>
      <c r="D114" s="166" t="s">
        <v>383</v>
      </c>
      <c r="E114" s="101" t="str">
        <f t="shared" si="0"/>
        <v>c_lab_wage_weed
দৈনিক মজুরী (টাকা)</v>
      </c>
      <c r="F114" s="86"/>
      <c r="G114" s="168" t="s">
        <v>393</v>
      </c>
      <c r="H114" s="12"/>
      <c r="I114" s="121"/>
      <c r="J114" s="12"/>
      <c r="K114" s="86"/>
      <c r="L114" s="86"/>
      <c r="M114" s="12" t="s">
        <v>396</v>
      </c>
      <c r="N114" s="12"/>
      <c r="O114" s="38" t="s">
        <v>54</v>
      </c>
      <c r="P114" s="12"/>
      <c r="Q114" s="12"/>
      <c r="R114" s="128"/>
      <c r="S114" s="129"/>
      <c r="T114" s="12"/>
      <c r="U114" s="12"/>
      <c r="V114" s="12"/>
      <c r="W114" s="12"/>
      <c r="X114" s="12"/>
      <c r="Y114" s="12"/>
      <c r="Z114" s="12"/>
      <c r="AA114" s="12"/>
      <c r="AB114" s="11"/>
      <c r="AC114" s="11"/>
      <c r="AD114" s="11"/>
      <c r="AE114" s="11"/>
      <c r="AF114" s="11"/>
      <c r="AG114" s="11"/>
      <c r="AH114" s="11"/>
      <c r="AI114" s="11"/>
      <c r="AJ114" s="11"/>
      <c r="AK114" s="11"/>
      <c r="AL114" s="11"/>
    </row>
    <row r="115" spans="1:38" ht="25.5" customHeight="1">
      <c r="A115" s="7" t="s">
        <v>323</v>
      </c>
      <c r="B115" s="12" t="s">
        <v>398</v>
      </c>
      <c r="C115" s="74" t="s">
        <v>385</v>
      </c>
      <c r="D115" s="166" t="s">
        <v>386</v>
      </c>
      <c r="E115" s="101" t="str">
        <f t="shared" si="0"/>
        <v>c_lab_food_weed
দৈনিক খাবার খরচ (টাকা)</v>
      </c>
      <c r="F115" s="86"/>
      <c r="G115" s="168" t="s">
        <v>393</v>
      </c>
      <c r="H115" s="12"/>
      <c r="I115" s="121"/>
      <c r="J115" s="12"/>
      <c r="K115" s="86"/>
      <c r="L115" s="86"/>
      <c r="M115" s="12" t="s">
        <v>396</v>
      </c>
      <c r="N115" s="12"/>
      <c r="O115" s="38" t="s">
        <v>54</v>
      </c>
      <c r="P115" s="12"/>
      <c r="Q115" s="12"/>
      <c r="R115" s="128"/>
      <c r="S115" s="129"/>
      <c r="T115" s="12"/>
      <c r="U115" s="12"/>
      <c r="V115" s="12"/>
      <c r="W115" s="12"/>
      <c r="X115" s="12"/>
      <c r="Y115" s="12"/>
      <c r="Z115" s="12"/>
      <c r="AA115" s="12"/>
      <c r="AB115" s="11"/>
      <c r="AC115" s="11"/>
      <c r="AD115" s="11"/>
      <c r="AE115" s="11"/>
      <c r="AF115" s="11"/>
      <c r="AG115" s="11"/>
      <c r="AH115" s="11"/>
      <c r="AI115" s="11"/>
      <c r="AJ115" s="11"/>
      <c r="AK115" s="11"/>
      <c r="AL115" s="11"/>
    </row>
    <row r="116" spans="1:38" ht="25.5" customHeight="1">
      <c r="A116" s="7" t="s">
        <v>323</v>
      </c>
      <c r="B116" s="12" t="s">
        <v>399</v>
      </c>
      <c r="C116" s="74" t="s">
        <v>388</v>
      </c>
      <c r="D116" s="166" t="s">
        <v>389</v>
      </c>
      <c r="E116" s="101" t="str">
        <f t="shared" si="0"/>
        <v>c_contract_weed
চুক্তি ভিত্তিক, একর প্রতি মোট খরচের পরিমান (টাকা)</v>
      </c>
      <c r="F116" s="86"/>
      <c r="G116" s="168" t="s">
        <v>393</v>
      </c>
      <c r="H116" s="12"/>
      <c r="I116" s="121"/>
      <c r="J116" s="12"/>
      <c r="K116" s="86"/>
      <c r="L116" s="86"/>
      <c r="M116" s="12" t="s">
        <v>396</v>
      </c>
      <c r="N116" s="12"/>
      <c r="O116" s="38" t="s">
        <v>54</v>
      </c>
      <c r="P116" s="12"/>
      <c r="Q116" s="12"/>
      <c r="R116" s="128"/>
      <c r="S116" s="129"/>
      <c r="T116" s="12"/>
      <c r="U116" s="12"/>
      <c r="V116" s="12"/>
      <c r="W116" s="12"/>
      <c r="X116" s="12"/>
      <c r="Y116" s="12"/>
      <c r="Z116" s="12"/>
      <c r="AA116" s="12"/>
      <c r="AB116" s="11"/>
      <c r="AC116" s="11"/>
      <c r="AD116" s="11"/>
      <c r="AE116" s="11"/>
      <c r="AF116" s="11"/>
      <c r="AG116" s="11"/>
      <c r="AH116" s="11"/>
      <c r="AI116" s="11"/>
      <c r="AJ116" s="11"/>
      <c r="AK116" s="11"/>
      <c r="AL116" s="11"/>
    </row>
    <row r="117" spans="1:38" ht="25.5" customHeight="1">
      <c r="A117" s="7" t="s">
        <v>390</v>
      </c>
      <c r="B117" s="12" t="s">
        <v>391</v>
      </c>
      <c r="C117" s="74" t="s">
        <v>392</v>
      </c>
      <c r="D117" s="166" t="s">
        <v>393</v>
      </c>
      <c r="E117" s="101" t="str">
        <f t="shared" si="0"/>
        <v>c_wage_weed
নিড়ানীর সময়</v>
      </c>
      <c r="F117" s="86"/>
      <c r="G117" s="12"/>
      <c r="H117" s="12"/>
      <c r="I117" s="121"/>
      <c r="J117" s="12"/>
      <c r="K117" s="86"/>
      <c r="L117" s="86"/>
      <c r="M117" s="12"/>
      <c r="N117" s="12"/>
      <c r="O117" s="12"/>
      <c r="P117" s="12"/>
      <c r="Q117" s="12"/>
      <c r="R117" s="128"/>
      <c r="S117" s="129"/>
      <c r="T117" s="12"/>
      <c r="U117" s="12"/>
      <c r="V117" s="12"/>
      <c r="W117" s="12"/>
      <c r="X117" s="12"/>
      <c r="Y117" s="12"/>
      <c r="Z117" s="12"/>
      <c r="AA117" s="12"/>
      <c r="AB117" s="11"/>
      <c r="AC117" s="11"/>
      <c r="AD117" s="11"/>
      <c r="AE117" s="11"/>
      <c r="AF117" s="11"/>
      <c r="AG117" s="11"/>
      <c r="AH117" s="11"/>
      <c r="AI117" s="11"/>
      <c r="AJ117" s="11"/>
      <c r="AK117" s="11"/>
      <c r="AL117" s="11"/>
    </row>
    <row r="118" spans="1:38" ht="25.5" customHeight="1">
      <c r="A118" s="7" t="s">
        <v>218</v>
      </c>
      <c r="B118" s="12" t="s">
        <v>400</v>
      </c>
      <c r="C118" s="74" t="s">
        <v>401</v>
      </c>
      <c r="D118" s="166" t="s">
        <v>402</v>
      </c>
      <c r="E118" s="101" t="str">
        <f t="shared" si="0"/>
        <v>c_wage_harvest
ফসল কাটার সময়</v>
      </c>
      <c r="F118" s="86"/>
      <c r="G118" s="12"/>
      <c r="H118" s="12"/>
      <c r="I118" s="121"/>
      <c r="J118" s="12"/>
      <c r="K118" s="86"/>
      <c r="L118" s="86"/>
      <c r="M118" s="12"/>
      <c r="N118" s="12"/>
      <c r="O118" s="12"/>
      <c r="P118" s="12"/>
      <c r="Q118" s="12"/>
      <c r="R118" s="128"/>
      <c r="S118" s="129"/>
      <c r="T118" s="12"/>
      <c r="U118" s="12"/>
      <c r="V118" s="12"/>
      <c r="W118" s="12"/>
      <c r="X118" s="12"/>
      <c r="Y118" s="12"/>
      <c r="Z118" s="12"/>
      <c r="AA118" s="12"/>
      <c r="AB118" s="11"/>
      <c r="AC118" s="11"/>
      <c r="AD118" s="11"/>
      <c r="AE118" s="11"/>
      <c r="AF118" s="11"/>
      <c r="AG118" s="11"/>
      <c r="AH118" s="11"/>
      <c r="AI118" s="11"/>
      <c r="AJ118" s="11"/>
      <c r="AK118" s="11"/>
      <c r="AL118" s="11"/>
    </row>
    <row r="119" spans="1:38" ht="25.5" customHeight="1">
      <c r="A119" s="7" t="s">
        <v>373</v>
      </c>
      <c r="B119" s="12" t="s">
        <v>403</v>
      </c>
      <c r="C119" s="74" t="s">
        <v>375</v>
      </c>
      <c r="D119" s="75" t="s">
        <v>376</v>
      </c>
      <c r="E119" s="101" t="str">
        <f t="shared" si="0"/>
        <v>c_lab_avail_harv
প্রয়োজনমত মজুরের প্রাপ্যতা</v>
      </c>
      <c r="F119" s="86"/>
      <c r="G119" s="168" t="s">
        <v>402</v>
      </c>
      <c r="H119" s="12"/>
      <c r="I119" s="121"/>
      <c r="J119" s="12"/>
      <c r="K119" s="86"/>
      <c r="L119" s="86"/>
      <c r="M119" s="12"/>
      <c r="N119" s="12"/>
      <c r="O119" s="38" t="s">
        <v>54</v>
      </c>
      <c r="P119" s="12"/>
      <c r="Q119" s="12"/>
      <c r="R119" s="128"/>
      <c r="S119" s="129"/>
      <c r="T119" s="12"/>
      <c r="U119" s="12"/>
      <c r="V119" s="12"/>
      <c r="W119" s="12"/>
      <c r="X119" s="12"/>
      <c r="Y119" s="12"/>
      <c r="Z119" s="12"/>
      <c r="AA119" s="12"/>
      <c r="AB119" s="11"/>
      <c r="AC119" s="11"/>
      <c r="AD119" s="11"/>
      <c r="AE119" s="11"/>
      <c r="AF119" s="11"/>
      <c r="AG119" s="11"/>
      <c r="AH119" s="11"/>
      <c r="AI119" s="11"/>
      <c r="AJ119" s="11"/>
      <c r="AK119" s="11"/>
      <c r="AL119" s="11"/>
    </row>
    <row r="120" spans="1:38" ht="25.5" customHeight="1">
      <c r="A120" s="7" t="s">
        <v>323</v>
      </c>
      <c r="B120" s="12" t="s">
        <v>404</v>
      </c>
      <c r="C120" s="74" t="s">
        <v>378</v>
      </c>
      <c r="D120" s="166" t="s">
        <v>379</v>
      </c>
      <c r="E120" s="101" t="str">
        <f t="shared" si="0"/>
        <v>c_lab_hours_harv
দৈনিক কত ঘন্টা কাজ করে</v>
      </c>
      <c r="F120" s="86"/>
      <c r="G120" s="168" t="s">
        <v>402</v>
      </c>
      <c r="H120" s="12"/>
      <c r="I120" s="121"/>
      <c r="J120" s="12"/>
      <c r="K120" s="86"/>
      <c r="L120" s="86"/>
      <c r="M120" s="12" t="s">
        <v>405</v>
      </c>
      <c r="N120" s="12"/>
      <c r="O120" s="38" t="s">
        <v>54</v>
      </c>
      <c r="P120" s="12"/>
      <c r="Q120" s="12"/>
      <c r="R120" s="128"/>
      <c r="S120" s="129"/>
      <c r="T120" s="12"/>
      <c r="U120" s="12"/>
      <c r="V120" s="12"/>
      <c r="W120" s="12"/>
      <c r="X120" s="12"/>
      <c r="Y120" s="12"/>
      <c r="Z120" s="12"/>
      <c r="AA120" s="12"/>
      <c r="AB120" s="11"/>
      <c r="AC120" s="11"/>
      <c r="AD120" s="11"/>
      <c r="AE120" s="11"/>
      <c r="AF120" s="11"/>
      <c r="AG120" s="11"/>
      <c r="AH120" s="11"/>
      <c r="AI120" s="11"/>
      <c r="AJ120" s="11"/>
      <c r="AK120" s="11"/>
      <c r="AL120" s="11"/>
    </row>
    <row r="121" spans="1:38" ht="25.5" customHeight="1">
      <c r="A121" s="7" t="s">
        <v>323</v>
      </c>
      <c r="B121" s="12" t="s">
        <v>406</v>
      </c>
      <c r="C121" s="74" t="s">
        <v>382</v>
      </c>
      <c r="D121" s="166" t="s">
        <v>383</v>
      </c>
      <c r="E121" s="101" t="str">
        <f t="shared" si="0"/>
        <v>c_lab_wage_harv
দৈনিক মজুরী (টাকা)</v>
      </c>
      <c r="F121" s="86"/>
      <c r="G121" s="168" t="s">
        <v>402</v>
      </c>
      <c r="H121" s="12"/>
      <c r="I121" s="121"/>
      <c r="J121" s="12"/>
      <c r="K121" s="86"/>
      <c r="L121" s="86"/>
      <c r="M121" s="12" t="s">
        <v>405</v>
      </c>
      <c r="N121" s="12"/>
      <c r="O121" s="38" t="s">
        <v>54</v>
      </c>
      <c r="P121" s="12"/>
      <c r="Q121" s="12"/>
      <c r="R121" s="128"/>
      <c r="S121" s="129"/>
      <c r="T121" s="12"/>
      <c r="U121" s="12"/>
      <c r="V121" s="12"/>
      <c r="W121" s="12"/>
      <c r="X121" s="12"/>
      <c r="Y121" s="12"/>
      <c r="Z121" s="12"/>
      <c r="AA121" s="12"/>
      <c r="AB121" s="11"/>
      <c r="AC121" s="11"/>
      <c r="AD121" s="11"/>
      <c r="AE121" s="11"/>
      <c r="AF121" s="11"/>
      <c r="AG121" s="11"/>
      <c r="AH121" s="11"/>
      <c r="AI121" s="11"/>
      <c r="AJ121" s="11"/>
      <c r="AK121" s="11"/>
      <c r="AL121" s="11"/>
    </row>
    <row r="122" spans="1:38" ht="25.5" customHeight="1">
      <c r="A122" s="7" t="s">
        <v>323</v>
      </c>
      <c r="B122" s="12" t="s">
        <v>407</v>
      </c>
      <c r="C122" s="74" t="s">
        <v>385</v>
      </c>
      <c r="D122" s="166" t="s">
        <v>386</v>
      </c>
      <c r="E122" s="101" t="str">
        <f t="shared" si="0"/>
        <v>c_lab_food_harv
দৈনিক খাবার খরচ (টাকা)</v>
      </c>
      <c r="F122" s="86"/>
      <c r="G122" s="168" t="s">
        <v>402</v>
      </c>
      <c r="H122" s="12"/>
      <c r="I122" s="121"/>
      <c r="J122" s="12"/>
      <c r="K122" s="86"/>
      <c r="L122" s="86"/>
      <c r="M122" s="12" t="s">
        <v>405</v>
      </c>
      <c r="N122" s="12"/>
      <c r="O122" s="38" t="s">
        <v>54</v>
      </c>
      <c r="P122" s="12"/>
      <c r="Q122" s="12"/>
      <c r="R122" s="128"/>
      <c r="S122" s="129"/>
      <c r="T122" s="12"/>
      <c r="U122" s="12"/>
      <c r="V122" s="12"/>
      <c r="W122" s="12"/>
      <c r="X122" s="12"/>
      <c r="Y122" s="12"/>
      <c r="Z122" s="12"/>
      <c r="AA122" s="12"/>
      <c r="AB122" s="11"/>
      <c r="AC122" s="11"/>
      <c r="AD122" s="11"/>
      <c r="AE122" s="11"/>
      <c r="AF122" s="11"/>
      <c r="AG122" s="11"/>
      <c r="AH122" s="11"/>
      <c r="AI122" s="11"/>
      <c r="AJ122" s="11"/>
      <c r="AK122" s="11"/>
      <c r="AL122" s="11"/>
    </row>
    <row r="123" spans="1:38" ht="25.5" customHeight="1">
      <c r="A123" s="7" t="s">
        <v>323</v>
      </c>
      <c r="B123" s="12" t="s">
        <v>408</v>
      </c>
      <c r="C123" s="74" t="s">
        <v>388</v>
      </c>
      <c r="D123" s="166" t="s">
        <v>389</v>
      </c>
      <c r="E123" s="101" t="str">
        <f t="shared" si="0"/>
        <v>c_contract_harv
চুক্তি ভিত্তিক, একর প্রতি মোট খরচের পরিমান (টাকা)</v>
      </c>
      <c r="F123" s="86"/>
      <c r="G123" s="168" t="s">
        <v>402</v>
      </c>
      <c r="H123" s="12"/>
      <c r="I123" s="121"/>
      <c r="J123" s="12"/>
      <c r="K123" s="86"/>
      <c r="L123" s="86"/>
      <c r="M123" s="12" t="s">
        <v>405</v>
      </c>
      <c r="N123" s="12"/>
      <c r="O123" s="38" t="s">
        <v>54</v>
      </c>
      <c r="P123" s="12"/>
      <c r="Q123" s="12"/>
      <c r="R123" s="128"/>
      <c r="S123" s="129"/>
      <c r="T123" s="12"/>
      <c r="U123" s="12"/>
      <c r="V123" s="12"/>
      <c r="W123" s="12"/>
      <c r="X123" s="12"/>
      <c r="Y123" s="12"/>
      <c r="Z123" s="12"/>
      <c r="AA123" s="12"/>
      <c r="AB123" s="11"/>
      <c r="AC123" s="11"/>
      <c r="AD123" s="11"/>
      <c r="AE123" s="11"/>
      <c r="AF123" s="11"/>
      <c r="AG123" s="11"/>
      <c r="AH123" s="11"/>
      <c r="AI123" s="11"/>
      <c r="AJ123" s="11"/>
      <c r="AK123" s="11"/>
      <c r="AL123" s="11"/>
    </row>
    <row r="124" spans="1:38" ht="25.5" customHeight="1">
      <c r="A124" s="7" t="s">
        <v>390</v>
      </c>
      <c r="B124" s="12" t="s">
        <v>400</v>
      </c>
      <c r="C124" s="74" t="s">
        <v>401</v>
      </c>
      <c r="D124" s="166" t="s">
        <v>402</v>
      </c>
      <c r="E124" s="101" t="str">
        <f t="shared" si="0"/>
        <v>c_wage_harvest
ফসল কাটার সময়</v>
      </c>
      <c r="F124" s="86"/>
      <c r="G124" s="12"/>
      <c r="H124" s="12"/>
      <c r="I124" s="121"/>
      <c r="J124" s="12"/>
      <c r="K124" s="86"/>
      <c r="L124" s="86"/>
      <c r="M124" s="12"/>
      <c r="N124" s="12"/>
      <c r="O124" s="12"/>
      <c r="P124" s="12"/>
      <c r="Q124" s="12"/>
      <c r="R124" s="128"/>
      <c r="S124" s="129"/>
      <c r="T124" s="12"/>
      <c r="U124" s="12"/>
      <c r="V124" s="12"/>
      <c r="W124" s="12"/>
      <c r="X124" s="12"/>
      <c r="Y124" s="12"/>
      <c r="Z124" s="12"/>
      <c r="AA124" s="12"/>
      <c r="AB124" s="11"/>
      <c r="AC124" s="11"/>
      <c r="AD124" s="11"/>
      <c r="AE124" s="11"/>
      <c r="AF124" s="11"/>
      <c r="AG124" s="11"/>
      <c r="AH124" s="11"/>
      <c r="AI124" s="11"/>
      <c r="AJ124" s="11"/>
      <c r="AK124" s="11"/>
      <c r="AL124" s="11"/>
    </row>
    <row r="125" spans="1:38" ht="25.5" customHeight="1">
      <c r="A125" s="7" t="s">
        <v>178</v>
      </c>
      <c r="B125" s="12" t="s">
        <v>358</v>
      </c>
      <c r="C125" s="74" t="s">
        <v>359</v>
      </c>
      <c r="D125" s="74" t="s">
        <v>359</v>
      </c>
      <c r="E125" s="101" t="str">
        <f t="shared" si="0"/>
        <v>c_season_repeat
Season repeat for wage questions</v>
      </c>
      <c r="F125" s="86"/>
      <c r="G125" s="12"/>
      <c r="H125" s="12"/>
      <c r="I125" s="121"/>
      <c r="J125" s="12"/>
      <c r="K125" s="86"/>
      <c r="L125" s="86"/>
      <c r="M125" s="12"/>
      <c r="N125" s="12"/>
      <c r="O125" s="12"/>
      <c r="P125" s="12"/>
      <c r="Q125" s="12"/>
      <c r="R125" s="128"/>
      <c r="S125" s="129"/>
      <c r="T125" s="12"/>
      <c r="U125" s="12"/>
      <c r="V125" s="12"/>
      <c r="W125" s="12"/>
      <c r="X125" s="12"/>
      <c r="Y125" s="12"/>
      <c r="Z125" s="12"/>
      <c r="AA125" s="12"/>
      <c r="AB125" s="11"/>
      <c r="AC125" s="11"/>
      <c r="AD125" s="11"/>
      <c r="AE125" s="11"/>
      <c r="AF125" s="11"/>
      <c r="AG125" s="11"/>
      <c r="AH125" s="11"/>
      <c r="AI125" s="11"/>
      <c r="AJ125" s="11"/>
      <c r="AK125" s="11"/>
      <c r="AL125" s="11"/>
    </row>
    <row r="126" spans="1:38" ht="25.5" customHeight="1">
      <c r="A126" s="7" t="s">
        <v>390</v>
      </c>
      <c r="B126" s="12" t="s">
        <v>219</v>
      </c>
      <c r="C126" s="74" t="s">
        <v>220</v>
      </c>
      <c r="D126" s="85"/>
      <c r="E126" s="101" t="str">
        <f t="shared" si="0"/>
        <v xml:space="preserve">mod_c
</v>
      </c>
      <c r="F126" s="86"/>
      <c r="G126" s="12"/>
      <c r="H126" s="12"/>
      <c r="I126" s="121"/>
      <c r="J126" s="12"/>
      <c r="K126" s="12"/>
      <c r="L126" s="12"/>
      <c r="M126" s="12"/>
      <c r="N126" s="12"/>
      <c r="O126" s="12"/>
      <c r="P126" s="12"/>
      <c r="Q126" s="12"/>
      <c r="R126" s="128"/>
      <c r="S126" s="129"/>
      <c r="T126" s="12"/>
      <c r="U126" s="12"/>
      <c r="V126" s="12"/>
      <c r="W126" s="12"/>
      <c r="X126" s="12"/>
      <c r="Y126" s="12"/>
      <c r="Z126" s="12"/>
      <c r="AA126" s="12"/>
      <c r="AB126" s="11"/>
      <c r="AC126" s="11"/>
      <c r="AD126" s="11"/>
      <c r="AE126" s="11"/>
      <c r="AF126" s="11"/>
      <c r="AG126" s="11"/>
      <c r="AH126" s="11"/>
      <c r="AI126" s="11"/>
      <c r="AJ126" s="11"/>
      <c r="AK126" s="11"/>
      <c r="AL126" s="11"/>
    </row>
    <row r="127" spans="1:38" ht="15.75" customHeight="1">
      <c r="A127" s="7" t="s">
        <v>148</v>
      </c>
      <c r="B127" s="121" t="s">
        <v>409</v>
      </c>
      <c r="C127" s="169" t="s">
        <v>410</v>
      </c>
      <c r="D127" s="170" t="s">
        <v>411</v>
      </c>
      <c r="E127" s="101" t="str">
        <f t="shared" si="0"/>
        <v>d_pres_dealer
এই গ্রামে কি কোন বীজ ডিলার আছে?</v>
      </c>
      <c r="F127" s="86"/>
      <c r="G127" s="12"/>
      <c r="H127" s="121"/>
      <c r="I127" s="121"/>
      <c r="J127" s="121"/>
      <c r="K127" s="12"/>
      <c r="L127" s="12"/>
      <c r="M127" s="121"/>
      <c r="N127" s="121"/>
      <c r="O127" s="121"/>
      <c r="P127" s="121"/>
      <c r="Q127" s="121"/>
      <c r="R127" s="171"/>
      <c r="S127" s="15"/>
      <c r="T127" s="121"/>
      <c r="U127" s="121"/>
      <c r="V127" s="121"/>
      <c r="W127" s="121"/>
      <c r="X127" s="121"/>
      <c r="Y127" s="121"/>
      <c r="Z127" s="121"/>
      <c r="AA127" s="121"/>
      <c r="AB127" s="11"/>
      <c r="AC127" s="11"/>
      <c r="AD127" s="11"/>
      <c r="AE127" s="11"/>
      <c r="AF127" s="11"/>
      <c r="AG127" s="11"/>
      <c r="AH127" s="11"/>
      <c r="AI127" s="11"/>
      <c r="AJ127" s="11"/>
      <c r="AK127" s="11"/>
      <c r="AL127" s="11"/>
    </row>
    <row r="128" spans="1:38" ht="15.75" customHeight="1">
      <c r="A128" s="7" t="s">
        <v>218</v>
      </c>
      <c r="B128" s="7" t="s">
        <v>412</v>
      </c>
      <c r="C128" s="9" t="s">
        <v>413</v>
      </c>
      <c r="D128" s="170" t="s">
        <v>414</v>
      </c>
      <c r="E128" s="101" t="str">
        <f t="shared" si="0"/>
        <v>mod_d
Module D1. বীজের ডিলার</v>
      </c>
      <c r="F128" s="8"/>
      <c r="G128" s="8"/>
      <c r="H128" s="7"/>
      <c r="I128" s="7"/>
      <c r="J128" s="7"/>
      <c r="K128" s="8"/>
      <c r="L128" s="8"/>
      <c r="M128" s="7" t="s">
        <v>415</v>
      </c>
      <c r="N128" s="7"/>
      <c r="O128" s="7"/>
      <c r="P128" s="7"/>
      <c r="Q128" s="7"/>
      <c r="R128" s="7"/>
      <c r="S128" s="7"/>
      <c r="T128" s="7"/>
      <c r="U128" s="7"/>
      <c r="V128" s="7"/>
      <c r="W128" s="7"/>
      <c r="X128" s="7"/>
      <c r="Y128" s="7"/>
      <c r="Z128" s="7"/>
      <c r="AA128" s="7"/>
      <c r="AB128" s="11"/>
      <c r="AC128" s="11"/>
      <c r="AD128" s="11"/>
      <c r="AE128" s="11"/>
      <c r="AF128" s="11"/>
      <c r="AG128" s="11"/>
      <c r="AH128" s="11"/>
      <c r="AI128" s="11"/>
      <c r="AJ128" s="11"/>
      <c r="AK128" s="11"/>
      <c r="AL128" s="11"/>
    </row>
    <row r="129" spans="1:38" ht="15.75" customHeight="1">
      <c r="A129" s="7" t="s">
        <v>23</v>
      </c>
      <c r="B129" s="7" t="s">
        <v>416</v>
      </c>
      <c r="C129" s="9" t="s">
        <v>417</v>
      </c>
      <c r="D129" s="10" t="s">
        <v>418</v>
      </c>
      <c r="E129" s="101" t="str">
        <f t="shared" si="0"/>
        <v>d1note
সময়কাল: শেষ 12 মাস, ফেব্রুয়ারি 2023 থেকে জানুয়ারী 2024 &lt;br&gt; নোট: আমরা সেই বীজ ডিলার বা বীজ বিক্রেতার [তিনি গ্রামের বাসিন্দা হবেন] সাক্ষাৎকার নিব যার কাছ থেকে এই গ্রামের অধিকাংশ কৃষক ফসলের বীজ (ধানের বীজ সহ) কিনেছেন/এমন বীজ ডিলার/বীজ বিক্রেতা [গ্রামের বাসিন্দা] কিন্তু তিনি গ্রামের বাইরে ব্যবসা করেন।।</v>
      </c>
      <c r="F129" s="8"/>
      <c r="G129" s="8"/>
      <c r="H129" s="7"/>
      <c r="I129" s="7"/>
      <c r="J129" s="7"/>
      <c r="K129" s="8"/>
      <c r="L129" s="8"/>
      <c r="M129" s="7"/>
      <c r="N129" s="7"/>
      <c r="O129" s="7"/>
      <c r="P129" s="7"/>
      <c r="Q129" s="7"/>
      <c r="R129" s="7"/>
      <c r="S129" s="7"/>
      <c r="T129" s="7"/>
      <c r="U129" s="7"/>
      <c r="V129" s="7"/>
      <c r="W129" s="7"/>
      <c r="X129" s="7"/>
      <c r="Y129" s="7"/>
      <c r="Z129" s="7"/>
      <c r="AA129" s="7"/>
      <c r="AB129" s="11"/>
      <c r="AC129" s="11"/>
      <c r="AD129" s="11"/>
      <c r="AE129" s="11"/>
      <c r="AF129" s="11"/>
      <c r="AG129" s="11"/>
      <c r="AH129" s="11"/>
      <c r="AI129" s="11"/>
      <c r="AJ129" s="11"/>
      <c r="AK129" s="11"/>
      <c r="AL129" s="11"/>
    </row>
    <row r="130" spans="1:38" ht="15.75" customHeight="1">
      <c r="A130" s="7" t="s">
        <v>144</v>
      </c>
      <c r="B130" s="7" t="s">
        <v>419</v>
      </c>
      <c r="C130" s="172" t="s">
        <v>420</v>
      </c>
      <c r="D130" s="10" t="s">
        <v>421</v>
      </c>
      <c r="E130" s="101" t="str">
        <f t="shared" si="0"/>
        <v>d1seed_dealer
বীজ ডিলার/বীজ ব্যবসায়ীর নাম?</v>
      </c>
      <c r="F130" s="8"/>
      <c r="G130" s="8"/>
      <c r="H130" s="7"/>
      <c r="I130" s="7"/>
      <c r="J130" s="7"/>
      <c r="K130" s="8"/>
      <c r="L130" s="8"/>
      <c r="M130" s="7"/>
      <c r="N130" s="7"/>
      <c r="O130" s="38" t="s">
        <v>54</v>
      </c>
      <c r="P130" s="7"/>
      <c r="Q130" s="7"/>
      <c r="R130" s="7"/>
      <c r="S130" s="7"/>
      <c r="T130" s="7"/>
      <c r="U130" s="7"/>
      <c r="V130" s="7"/>
      <c r="W130" s="7"/>
      <c r="X130" s="7"/>
      <c r="Y130" s="7"/>
      <c r="Z130" s="7"/>
      <c r="AA130" s="7"/>
      <c r="AB130" s="11"/>
      <c r="AC130" s="11"/>
      <c r="AD130" s="11"/>
      <c r="AE130" s="11"/>
      <c r="AF130" s="11"/>
      <c r="AG130" s="11"/>
      <c r="AH130" s="11"/>
      <c r="AI130" s="11"/>
      <c r="AJ130" s="11"/>
      <c r="AK130" s="11"/>
      <c r="AL130" s="11"/>
    </row>
    <row r="131" spans="1:38" ht="15.75" customHeight="1">
      <c r="A131" s="7" t="s">
        <v>144</v>
      </c>
      <c r="B131" s="7" t="s">
        <v>422</v>
      </c>
      <c r="C131" s="173" t="s">
        <v>423</v>
      </c>
      <c r="D131" s="10" t="s">
        <v>424</v>
      </c>
      <c r="E131" s="101" t="str">
        <f t="shared" si="0"/>
        <v>d1address
এই বীজ ডিলার/বীজ ব্যবসায়ীর ব্যবসা প্রতিষ্ঠানের লোকেশন?</v>
      </c>
      <c r="F131" s="8"/>
      <c r="G131" s="8"/>
      <c r="H131" s="7"/>
      <c r="I131" s="7"/>
      <c r="J131" s="7"/>
      <c r="K131" s="8"/>
      <c r="L131" s="8"/>
      <c r="M131" s="7"/>
      <c r="N131" s="7"/>
      <c r="O131" s="38" t="s">
        <v>54</v>
      </c>
      <c r="P131" s="7"/>
      <c r="Q131" s="7"/>
      <c r="R131" s="7"/>
      <c r="S131" s="7"/>
      <c r="T131" s="7"/>
      <c r="U131" s="7"/>
      <c r="V131" s="7"/>
      <c r="W131" s="7"/>
      <c r="X131" s="7"/>
      <c r="Y131" s="7"/>
      <c r="Z131" s="7"/>
      <c r="AA131" s="7"/>
      <c r="AB131" s="11"/>
      <c r="AC131" s="11"/>
      <c r="AD131" s="11"/>
      <c r="AE131" s="11"/>
      <c r="AF131" s="11"/>
      <c r="AG131" s="11"/>
      <c r="AH131" s="11"/>
      <c r="AI131" s="11"/>
      <c r="AJ131" s="11"/>
      <c r="AK131" s="11"/>
      <c r="AL131" s="11"/>
    </row>
    <row r="132" spans="1:38" ht="15.75" customHeight="1">
      <c r="A132" s="7" t="s">
        <v>211</v>
      </c>
      <c r="B132" s="7" t="s">
        <v>425</v>
      </c>
      <c r="C132" s="173" t="s">
        <v>426</v>
      </c>
      <c r="D132" s="10" t="s">
        <v>427</v>
      </c>
      <c r="E132" s="101" t="str">
        <f t="shared" si="0"/>
        <v>d1address_gps
এই বীজ ডিলার/বীজ ব্যবসায়ীর ব্যবসা প্রতিষ্ঠানের লোকেশনের জিপিএস</v>
      </c>
      <c r="F132" s="174" t="s">
        <v>428</v>
      </c>
      <c r="G132" s="126" t="s">
        <v>429</v>
      </c>
      <c r="H132" s="7"/>
      <c r="I132" s="7"/>
      <c r="J132" s="7"/>
      <c r="K132" s="8"/>
      <c r="L132" s="8"/>
      <c r="M132" s="7"/>
      <c r="N132" s="7"/>
      <c r="O132" s="38" t="s">
        <v>54</v>
      </c>
      <c r="P132" s="7"/>
      <c r="Q132" s="7"/>
      <c r="R132" s="7"/>
      <c r="S132" s="7"/>
      <c r="T132" s="7"/>
      <c r="U132" s="7"/>
      <c r="V132" s="7"/>
      <c r="W132" s="7"/>
      <c r="X132" s="7"/>
      <c r="Y132" s="7"/>
      <c r="Z132" s="7"/>
      <c r="AA132" s="7"/>
      <c r="AB132" s="11"/>
      <c r="AC132" s="11"/>
      <c r="AD132" s="11"/>
      <c r="AE132" s="11"/>
      <c r="AF132" s="11"/>
      <c r="AG132" s="11"/>
      <c r="AH132" s="11"/>
      <c r="AI132" s="11"/>
      <c r="AJ132" s="11"/>
      <c r="AK132" s="11"/>
      <c r="AL132" s="11"/>
    </row>
    <row r="133" spans="1:38" ht="15.75" customHeight="1">
      <c r="A133" s="7" t="s">
        <v>323</v>
      </c>
      <c r="B133" s="7" t="s">
        <v>430</v>
      </c>
      <c r="C133" s="173" t="s">
        <v>431</v>
      </c>
      <c r="D133" s="10" t="s">
        <v>432</v>
      </c>
      <c r="E133" s="101" t="str">
        <f t="shared" si="0"/>
        <v>d1distance
জরীপ গ্রাম থেকে বীজের ডিলার/বীজ ব্যবসা প্রতিষ্ঠানের দুরত্ব? [meters]</v>
      </c>
      <c r="F133" s="8"/>
      <c r="G133" s="8"/>
      <c r="H133" s="7"/>
      <c r="I133" s="7"/>
      <c r="J133" s="7"/>
      <c r="K133" s="8"/>
      <c r="L133" s="8"/>
      <c r="M133" s="7"/>
      <c r="N133" s="7"/>
      <c r="O133" s="38" t="s">
        <v>54</v>
      </c>
      <c r="P133" s="7"/>
      <c r="Q133" s="7"/>
      <c r="R133" s="7"/>
      <c r="S133" s="7"/>
      <c r="T133" s="7"/>
      <c r="U133" s="7"/>
      <c r="V133" s="7"/>
      <c r="W133" s="7"/>
      <c r="X133" s="7"/>
      <c r="Y133" s="7"/>
      <c r="Z133" s="7"/>
      <c r="AA133" s="7"/>
      <c r="AB133" s="11"/>
      <c r="AC133" s="11"/>
      <c r="AD133" s="11"/>
      <c r="AE133" s="11"/>
      <c r="AF133" s="11"/>
      <c r="AG133" s="11"/>
      <c r="AH133" s="11"/>
      <c r="AI133" s="11"/>
      <c r="AJ133" s="11"/>
      <c r="AK133" s="11"/>
      <c r="AL133" s="11"/>
    </row>
    <row r="134" spans="1:38" ht="15.75" customHeight="1">
      <c r="A134" s="7" t="s">
        <v>433</v>
      </c>
      <c r="B134" s="7" t="s">
        <v>434</v>
      </c>
      <c r="C134" s="173" t="s">
        <v>435</v>
      </c>
      <c r="D134" s="10" t="s">
        <v>436</v>
      </c>
      <c r="E134" s="101" t="str">
        <f t="shared" si="0"/>
        <v>d1farmer_served
আপনি (বীজ ডিলার/ব্যবসায়ী) কোন এলাকার চাষিদের কাছে বীজ বিক্রয় করেন?</v>
      </c>
      <c r="F134" s="8"/>
      <c r="G134" s="8"/>
      <c r="H134" s="7"/>
      <c r="I134" s="7"/>
      <c r="J134" s="7"/>
      <c r="K134" s="8"/>
      <c r="L134" s="8"/>
      <c r="M134" s="7"/>
      <c r="N134" s="7"/>
      <c r="O134" s="38" t="s">
        <v>54</v>
      </c>
      <c r="P134" s="7"/>
      <c r="Q134" s="7"/>
      <c r="R134" s="7"/>
      <c r="S134" s="7"/>
      <c r="T134" s="7"/>
      <c r="U134" s="7"/>
      <c r="V134" s="7"/>
      <c r="W134" s="7"/>
      <c r="X134" s="7"/>
      <c r="Y134" s="7"/>
      <c r="Z134" s="7"/>
      <c r="AA134" s="7"/>
      <c r="AB134" s="11"/>
      <c r="AC134" s="11"/>
      <c r="AD134" s="11"/>
      <c r="AE134" s="11"/>
      <c r="AF134" s="11"/>
      <c r="AG134" s="11"/>
      <c r="AH134" s="11"/>
      <c r="AI134" s="11"/>
      <c r="AJ134" s="11"/>
      <c r="AK134" s="11"/>
      <c r="AL134" s="11"/>
    </row>
    <row r="135" spans="1:38" ht="15.75" customHeight="1">
      <c r="A135" s="7" t="s">
        <v>437</v>
      </c>
      <c r="B135" s="7" t="s">
        <v>438</v>
      </c>
      <c r="C135" s="173" t="s">
        <v>439</v>
      </c>
      <c r="D135" s="10" t="s">
        <v>440</v>
      </c>
      <c r="E135" s="101" t="str">
        <f t="shared" si="0"/>
        <v xml:space="preserve">d1dealer_type
আপনি কোন ধরনের বীজ ডিলার/বীজ ব্যবসায়ী? </v>
      </c>
      <c r="F135" s="8"/>
      <c r="G135" s="8"/>
      <c r="H135" s="7"/>
      <c r="I135" s="7"/>
      <c r="J135" s="7"/>
      <c r="K135" s="8"/>
      <c r="L135" s="8"/>
      <c r="M135" s="7"/>
      <c r="N135" s="7"/>
      <c r="O135" s="38" t="s">
        <v>54</v>
      </c>
      <c r="P135" s="7"/>
      <c r="Q135" s="7"/>
      <c r="R135" s="7"/>
      <c r="S135" s="7"/>
      <c r="T135" s="7"/>
      <c r="U135" s="7"/>
      <c r="V135" s="7"/>
      <c r="W135" s="7"/>
      <c r="X135" s="7"/>
      <c r="Y135" s="7"/>
      <c r="Z135" s="7"/>
      <c r="AA135" s="7"/>
      <c r="AB135" s="11"/>
      <c r="AC135" s="11"/>
      <c r="AD135" s="11"/>
      <c r="AE135" s="11"/>
      <c r="AF135" s="11"/>
      <c r="AG135" s="11"/>
      <c r="AH135" s="11"/>
      <c r="AI135" s="11"/>
      <c r="AJ135" s="11"/>
      <c r="AK135" s="11"/>
      <c r="AL135" s="11"/>
    </row>
    <row r="136" spans="1:38" ht="15.75" customHeight="1">
      <c r="A136" s="7" t="s">
        <v>441</v>
      </c>
      <c r="B136" s="7" t="s">
        <v>442</v>
      </c>
      <c r="C136" s="173" t="s">
        <v>443</v>
      </c>
      <c r="D136" s="10" t="s">
        <v>444</v>
      </c>
      <c r="E136" s="101" t="str">
        <f t="shared" si="0"/>
        <v>d1other_input
আপনি আপনার দোকানে বীজের পাশাপাশি অন্য কী কী কৃষি উপকরন (ইনপুট) বিক্রি করেন?</v>
      </c>
      <c r="F136" s="8"/>
      <c r="G136" s="8"/>
      <c r="H136" s="7"/>
      <c r="I136" s="7"/>
      <c r="J136" s="7"/>
      <c r="K136" s="8"/>
      <c r="L136" s="8"/>
      <c r="M136" s="91"/>
      <c r="N136" s="7"/>
      <c r="O136" s="38" t="s">
        <v>54</v>
      </c>
      <c r="P136" s="7"/>
      <c r="Q136" s="7"/>
      <c r="R136" s="7"/>
      <c r="S136" s="7"/>
      <c r="T136" s="7"/>
      <c r="U136" s="7"/>
      <c r="V136" s="7"/>
      <c r="W136" s="7"/>
      <c r="X136" s="7"/>
      <c r="Y136" s="7"/>
      <c r="Z136" s="7"/>
      <c r="AA136" s="7"/>
      <c r="AB136" s="11"/>
      <c r="AC136" s="11"/>
      <c r="AD136" s="11"/>
      <c r="AE136" s="11"/>
      <c r="AF136" s="11"/>
      <c r="AG136" s="11"/>
      <c r="AH136" s="11"/>
      <c r="AI136" s="11"/>
      <c r="AJ136" s="11"/>
      <c r="AK136" s="11"/>
      <c r="AL136" s="11"/>
    </row>
    <row r="137" spans="1:38" ht="15.75" customHeight="1">
      <c r="A137" s="175" t="s">
        <v>144</v>
      </c>
      <c r="B137" s="176" t="s">
        <v>445</v>
      </c>
      <c r="C137" s="177" t="s">
        <v>167</v>
      </c>
      <c r="D137" s="95" t="s">
        <v>168</v>
      </c>
      <c r="E137" s="101" t="str">
        <f t="shared" si="0"/>
        <v>d1other_input_oth
অন্যান্য(উল্লেখ করুন)</v>
      </c>
      <c r="F137" s="178"/>
      <c r="G137" s="179"/>
      <c r="H137" s="180"/>
      <c r="I137" s="179"/>
      <c r="J137" s="180"/>
      <c r="K137" s="180"/>
      <c r="L137" s="180"/>
      <c r="M137" s="91" t="s">
        <v>446</v>
      </c>
      <c r="N137" s="180"/>
      <c r="O137" s="38" t="s">
        <v>54</v>
      </c>
      <c r="P137" s="180"/>
      <c r="Q137" s="180"/>
      <c r="R137" s="180"/>
      <c r="S137" s="180"/>
      <c r="T137" s="180"/>
      <c r="U137" s="180"/>
      <c r="V137" s="180"/>
      <c r="W137" s="180"/>
      <c r="X137" s="180"/>
      <c r="Y137" s="180"/>
      <c r="Z137" s="180"/>
      <c r="AA137" s="180"/>
      <c r="AB137" s="22"/>
      <c r="AC137" s="22"/>
      <c r="AD137" s="22"/>
      <c r="AE137" s="22"/>
      <c r="AF137" s="22"/>
      <c r="AG137" s="22"/>
      <c r="AH137" s="22"/>
      <c r="AI137" s="22"/>
      <c r="AJ137" s="22"/>
      <c r="AK137" s="22"/>
      <c r="AL137" s="22"/>
    </row>
    <row r="138" spans="1:38" ht="15.75" customHeight="1">
      <c r="A138" s="7" t="s">
        <v>447</v>
      </c>
      <c r="B138" s="7" t="s">
        <v>448</v>
      </c>
      <c r="C138" s="172" t="s">
        <v>449</v>
      </c>
      <c r="D138" s="181" t="s">
        <v>450</v>
      </c>
      <c r="E138" s="101" t="str">
        <f t="shared" si="0"/>
        <v>d1type_seed
আপনি গত 12 মাসে কী কী ধরনের বীজ বিক্রি করেছেন?</v>
      </c>
      <c r="F138" s="8"/>
      <c r="G138" s="8"/>
      <c r="H138" s="7"/>
      <c r="I138" s="7"/>
      <c r="J138" s="7"/>
      <c r="K138" s="8"/>
      <c r="L138" s="8"/>
      <c r="M138" s="91"/>
      <c r="N138" s="7"/>
      <c r="O138" s="38" t="s">
        <v>54</v>
      </c>
      <c r="P138" s="7"/>
      <c r="Q138" s="7"/>
      <c r="R138" s="7"/>
      <c r="S138" s="7"/>
      <c r="T138" s="7"/>
      <c r="U138" s="7"/>
      <c r="V138" s="7"/>
      <c r="W138" s="7"/>
      <c r="X138" s="7"/>
      <c r="Y138" s="7"/>
      <c r="Z138" s="7"/>
      <c r="AA138" s="7"/>
      <c r="AB138" s="11"/>
      <c r="AC138" s="11"/>
      <c r="AD138" s="11"/>
      <c r="AE138" s="11"/>
      <c r="AF138" s="11"/>
      <c r="AG138" s="11"/>
      <c r="AH138" s="11"/>
      <c r="AI138" s="11"/>
      <c r="AJ138" s="11"/>
      <c r="AK138" s="11"/>
      <c r="AL138" s="11"/>
    </row>
    <row r="139" spans="1:38" ht="15.75" customHeight="1">
      <c r="A139" s="175" t="s">
        <v>144</v>
      </c>
      <c r="B139" s="176" t="s">
        <v>451</v>
      </c>
      <c r="C139" s="177" t="s">
        <v>167</v>
      </c>
      <c r="D139" s="95" t="s">
        <v>168</v>
      </c>
      <c r="E139" s="101" t="str">
        <f t="shared" si="0"/>
        <v>d1type_seed_oth
অন্যান্য(উল্লেখ করুন)</v>
      </c>
      <c r="F139" s="178"/>
      <c r="G139" s="179"/>
      <c r="H139" s="180"/>
      <c r="I139" s="179"/>
      <c r="J139" s="180"/>
      <c r="K139" s="180"/>
      <c r="L139" s="180"/>
      <c r="M139" s="91" t="s">
        <v>452</v>
      </c>
      <c r="N139" s="180"/>
      <c r="O139" s="38" t="s">
        <v>54</v>
      </c>
      <c r="P139" s="180"/>
      <c r="Q139" s="180"/>
      <c r="R139" s="180"/>
      <c r="S139" s="180"/>
      <c r="T139" s="180"/>
      <c r="U139" s="180"/>
      <c r="V139" s="180"/>
      <c r="W139" s="180"/>
      <c r="X139" s="180"/>
      <c r="Y139" s="180"/>
      <c r="Z139" s="180"/>
      <c r="AA139" s="180"/>
      <c r="AB139" s="22"/>
      <c r="AC139" s="22"/>
      <c r="AD139" s="22"/>
      <c r="AE139" s="22"/>
      <c r="AF139" s="22"/>
      <c r="AG139" s="22"/>
      <c r="AH139" s="22"/>
      <c r="AI139" s="22"/>
      <c r="AJ139" s="22"/>
      <c r="AK139" s="22"/>
      <c r="AL139" s="22"/>
    </row>
    <row r="140" spans="1:38" ht="15.75" customHeight="1">
      <c r="A140" s="29" t="s">
        <v>453</v>
      </c>
      <c r="B140" s="90" t="s">
        <v>454</v>
      </c>
      <c r="C140" s="74" t="s">
        <v>455</v>
      </c>
      <c r="D140" s="33" t="s">
        <v>456</v>
      </c>
      <c r="E140" s="101" t="str">
        <f t="shared" si="0"/>
        <v xml:space="preserve">d1paddy_variety
ধান প্রজাতির নাম  </v>
      </c>
      <c r="F140" s="182" t="s">
        <v>457</v>
      </c>
      <c r="G140" s="183" t="s">
        <v>458</v>
      </c>
      <c r="H140" s="35"/>
      <c r="I140" s="36" t="s">
        <v>459</v>
      </c>
      <c r="J140" s="35"/>
      <c r="K140" s="35"/>
      <c r="L140" s="35"/>
      <c r="M140" s="91" t="s">
        <v>460</v>
      </c>
      <c r="N140" s="35"/>
      <c r="O140" s="38" t="s">
        <v>54</v>
      </c>
      <c r="P140" s="35"/>
      <c r="Q140" s="35"/>
      <c r="R140" s="184"/>
      <c r="S140" s="35"/>
      <c r="T140" s="35"/>
      <c r="U140" s="35"/>
      <c r="V140" s="35"/>
      <c r="W140" s="37"/>
      <c r="X140" s="35"/>
      <c r="Y140" s="35"/>
      <c r="Z140" s="35"/>
      <c r="AA140" s="35"/>
      <c r="AB140" s="22"/>
      <c r="AC140" s="22"/>
      <c r="AD140" s="22"/>
      <c r="AE140" s="22"/>
      <c r="AF140" s="22"/>
      <c r="AG140" s="22"/>
      <c r="AH140" s="22"/>
      <c r="AI140" s="22"/>
      <c r="AJ140" s="22"/>
      <c r="AK140" s="22"/>
      <c r="AL140" s="22"/>
    </row>
    <row r="141" spans="1:38" ht="15.75" customHeight="1">
      <c r="A141" s="175" t="s">
        <v>144</v>
      </c>
      <c r="B141" s="176" t="s">
        <v>461</v>
      </c>
      <c r="C141" s="177" t="s">
        <v>167</v>
      </c>
      <c r="D141" s="95" t="s">
        <v>168</v>
      </c>
      <c r="E141" s="101" t="str">
        <f t="shared" si="0"/>
        <v>d1paddyvariety_oth
অন্যান্য(উল্লেখ করুন)</v>
      </c>
      <c r="F141" s="178"/>
      <c r="G141" s="179"/>
      <c r="H141" s="180"/>
      <c r="I141" s="179"/>
      <c r="J141" s="180"/>
      <c r="K141" s="180"/>
      <c r="L141" s="180"/>
      <c r="M141" s="91" t="s">
        <v>462</v>
      </c>
      <c r="N141" s="180"/>
      <c r="O141" s="38" t="s">
        <v>54</v>
      </c>
      <c r="P141" s="180"/>
      <c r="Q141" s="180"/>
      <c r="R141" s="180"/>
      <c r="S141" s="180"/>
      <c r="T141" s="180"/>
      <c r="U141" s="180"/>
      <c r="V141" s="180"/>
      <c r="W141" s="180"/>
      <c r="X141" s="180"/>
      <c r="Y141" s="180"/>
      <c r="Z141" s="180"/>
      <c r="AA141" s="180"/>
      <c r="AB141" s="22"/>
      <c r="AC141" s="22"/>
      <c r="AD141" s="22"/>
      <c r="AE141" s="22"/>
      <c r="AF141" s="22"/>
      <c r="AG141" s="22"/>
      <c r="AH141" s="22"/>
      <c r="AI141" s="22"/>
      <c r="AJ141" s="22"/>
      <c r="AK141" s="22"/>
      <c r="AL141" s="22"/>
    </row>
    <row r="142" spans="1:38" ht="25.5" customHeight="1">
      <c r="A142" s="99" t="s">
        <v>139</v>
      </c>
      <c r="B142" s="100" t="s">
        <v>463</v>
      </c>
      <c r="C142" s="185" t="s">
        <v>464</v>
      </c>
      <c r="D142" s="185" t="s">
        <v>464</v>
      </c>
      <c r="E142" s="101" t="str">
        <f t="shared" si="0"/>
        <v>d1paddy_var_repeat
Questions for paddy varieties</v>
      </c>
      <c r="F142" s="102"/>
      <c r="G142" s="102"/>
      <c r="H142" s="102"/>
      <c r="I142" s="102"/>
      <c r="J142" s="102"/>
      <c r="K142" s="102"/>
      <c r="L142" s="102"/>
      <c r="M142" s="100"/>
      <c r="N142" s="102"/>
      <c r="O142" s="102"/>
      <c r="P142" s="102"/>
      <c r="Q142" s="102"/>
      <c r="R142" s="103"/>
      <c r="S142" s="104" t="s">
        <v>465</v>
      </c>
      <c r="T142" s="102"/>
      <c r="U142" s="102"/>
      <c r="V142" s="102"/>
      <c r="W142" s="102"/>
      <c r="X142" s="102"/>
      <c r="Y142" s="102"/>
      <c r="Z142" s="102"/>
      <c r="AA142" s="102"/>
      <c r="AB142" s="22"/>
      <c r="AC142" s="22"/>
      <c r="AD142" s="22"/>
      <c r="AE142" s="22"/>
      <c r="AF142" s="22"/>
      <c r="AG142" s="22"/>
      <c r="AH142" s="22"/>
      <c r="AI142" s="22"/>
      <c r="AJ142" s="22"/>
      <c r="AK142" s="22"/>
      <c r="AL142" s="22"/>
    </row>
    <row r="143" spans="1:38" ht="25.5" customHeight="1">
      <c r="A143" s="105" t="s">
        <v>35</v>
      </c>
      <c r="B143" s="106" t="s">
        <v>466</v>
      </c>
      <c r="C143" s="107" t="s">
        <v>187</v>
      </c>
      <c r="D143" s="108"/>
      <c r="E143" s="101" t="str">
        <f t="shared" si="0"/>
        <v xml:space="preserve">d1paddy_var_index
</v>
      </c>
      <c r="F143" s="109"/>
      <c r="G143" s="109"/>
      <c r="H143" s="109"/>
      <c r="I143" s="109"/>
      <c r="J143" s="109"/>
      <c r="K143" s="109"/>
      <c r="L143" s="109"/>
      <c r="M143" s="109"/>
      <c r="N143" s="110"/>
      <c r="O143" s="109"/>
      <c r="P143" s="109"/>
      <c r="Q143" s="109"/>
      <c r="R143" s="106" t="s">
        <v>188</v>
      </c>
      <c r="S143" s="109"/>
      <c r="T143" s="109"/>
      <c r="U143" s="109"/>
      <c r="V143" s="109"/>
      <c r="W143" s="109"/>
      <c r="X143" s="22"/>
      <c r="Y143" s="22"/>
      <c r="Z143" s="111"/>
      <c r="AA143" s="45"/>
      <c r="AB143" s="22"/>
      <c r="AC143" s="22"/>
      <c r="AD143" s="22"/>
      <c r="AE143" s="22"/>
      <c r="AF143" s="22"/>
      <c r="AG143" s="22"/>
      <c r="AH143" s="22"/>
      <c r="AI143" s="22"/>
      <c r="AJ143" s="22"/>
      <c r="AK143" s="22"/>
      <c r="AL143" s="22"/>
    </row>
    <row r="144" spans="1:38" ht="25.5" customHeight="1">
      <c r="A144" s="112" t="s">
        <v>35</v>
      </c>
      <c r="B144" s="106" t="s">
        <v>467</v>
      </c>
      <c r="C144" s="107" t="s">
        <v>190</v>
      </c>
      <c r="D144" s="108"/>
      <c r="E144" s="101" t="str">
        <f t="shared" si="0"/>
        <v xml:space="preserve">d1paddy_var_id
</v>
      </c>
      <c r="F144" s="113"/>
      <c r="G144" s="113"/>
      <c r="H144" s="113"/>
      <c r="I144" s="113"/>
      <c r="J144" s="113"/>
      <c r="K144" s="113"/>
      <c r="L144" s="113"/>
      <c r="M144" s="113"/>
      <c r="N144" s="114"/>
      <c r="O144" s="113"/>
      <c r="P144" s="113"/>
      <c r="Q144" s="113"/>
      <c r="R144" s="110" t="s">
        <v>468</v>
      </c>
      <c r="S144" s="113"/>
      <c r="T144" s="113"/>
      <c r="U144" s="113"/>
      <c r="V144" s="113"/>
      <c r="W144" s="113"/>
      <c r="X144" s="22"/>
      <c r="Y144" s="22"/>
      <c r="Z144" s="22"/>
      <c r="AA144" s="45"/>
      <c r="AB144" s="22"/>
      <c r="AC144" s="22"/>
      <c r="AD144" s="22"/>
      <c r="AE144" s="22"/>
      <c r="AF144" s="22"/>
      <c r="AG144" s="22"/>
      <c r="AH144" s="22"/>
      <c r="AI144" s="22"/>
      <c r="AJ144" s="22"/>
      <c r="AK144" s="22"/>
      <c r="AL144" s="22"/>
    </row>
    <row r="145" spans="1:38" ht="25.5" customHeight="1">
      <c r="A145" s="112" t="s">
        <v>35</v>
      </c>
      <c r="B145" s="106" t="s">
        <v>469</v>
      </c>
      <c r="C145" s="115" t="s">
        <v>470</v>
      </c>
      <c r="D145" s="108"/>
      <c r="E145" s="101" t="str">
        <f t="shared" si="0"/>
        <v xml:space="preserve">d1paddyvar_name
</v>
      </c>
      <c r="F145" s="113"/>
      <c r="G145" s="113"/>
      <c r="H145" s="113"/>
      <c r="I145" s="113"/>
      <c r="J145" s="113"/>
      <c r="K145" s="113"/>
      <c r="L145" s="113"/>
      <c r="M145" s="113"/>
      <c r="N145" s="110"/>
      <c r="O145" s="113"/>
      <c r="P145" s="113"/>
      <c r="Q145" s="113"/>
      <c r="R145" s="110" t="s">
        <v>471</v>
      </c>
      <c r="S145" s="113"/>
      <c r="T145" s="113"/>
      <c r="U145" s="113"/>
      <c r="V145" s="113"/>
      <c r="W145" s="113"/>
      <c r="X145" s="22"/>
      <c r="Y145" s="22"/>
      <c r="Z145" s="22"/>
      <c r="AA145" s="45"/>
      <c r="AB145" s="22"/>
      <c r="AC145" s="22"/>
      <c r="AD145" s="22"/>
      <c r="AE145" s="22"/>
      <c r="AF145" s="22"/>
      <c r="AG145" s="22"/>
      <c r="AH145" s="22"/>
      <c r="AI145" s="22"/>
      <c r="AJ145" s="22"/>
      <c r="AK145" s="22"/>
      <c r="AL145" s="22"/>
    </row>
    <row r="146" spans="1:38" ht="25.5" customHeight="1">
      <c r="A146" s="186" t="s">
        <v>23</v>
      </c>
      <c r="B146" s="187" t="s">
        <v>472</v>
      </c>
      <c r="C146" s="156" t="s">
        <v>473</v>
      </c>
      <c r="D146" s="157" t="s">
        <v>474</v>
      </c>
      <c r="E146" s="101" t="str">
        <f t="shared" si="0"/>
        <v>d1paddyvar_note
&lt;p&gt;&lt;span style="color:blue"&gt;  তথ্য সংগ্রহকারী: "এখন, আমি আপনাকে &lt;b&gt; ${d1paddyvar_name} &lt;/b&gt; সম্পর্কে প্রশ্ন জিজ্ঞাসা করব।" &lt;/span&gt;</v>
      </c>
      <c r="F146" s="186"/>
      <c r="G146" s="186"/>
      <c r="H146" s="186"/>
      <c r="I146" s="186"/>
      <c r="J146" s="186"/>
      <c r="K146" s="186"/>
      <c r="L146" s="186"/>
      <c r="M146" s="186"/>
      <c r="N146" s="186"/>
      <c r="O146" s="186"/>
      <c r="P146" s="186"/>
      <c r="Q146" s="186"/>
      <c r="R146" s="186"/>
      <c r="S146" s="186"/>
      <c r="T146" s="186"/>
      <c r="U146" s="186"/>
      <c r="V146" s="186"/>
      <c r="W146" s="186"/>
      <c r="X146" s="186"/>
      <c r="Y146" s="186"/>
      <c r="Z146" s="186"/>
      <c r="AA146" s="186"/>
      <c r="AB146" s="22"/>
      <c r="AC146" s="22"/>
      <c r="AD146" s="22"/>
      <c r="AE146" s="22"/>
      <c r="AF146" s="22"/>
      <c r="AG146" s="22"/>
      <c r="AH146" s="22"/>
      <c r="AI146" s="22"/>
      <c r="AJ146" s="22"/>
      <c r="AK146" s="22"/>
      <c r="AL146" s="22"/>
    </row>
    <row r="147" spans="1:38" ht="25.5" customHeight="1">
      <c r="A147" s="70" t="s">
        <v>148</v>
      </c>
      <c r="B147" s="188" t="s">
        <v>475</v>
      </c>
      <c r="C147" s="172" t="s">
        <v>476</v>
      </c>
      <c r="D147" s="85" t="s">
        <v>477</v>
      </c>
      <c r="E147" s="101" t="str">
        <f t="shared" si="0"/>
        <v>d1sell_aman
আমন ২০২৩-এ কি আপনি এই প্রজাতি বিক্রি করেছেন?</v>
      </c>
      <c r="F147" s="86" t="s">
        <v>478</v>
      </c>
      <c r="G147" s="86" t="s">
        <v>478</v>
      </c>
      <c r="H147" s="188"/>
      <c r="I147" s="189"/>
      <c r="J147" s="188"/>
      <c r="K147" s="188"/>
      <c r="L147" s="188"/>
      <c r="M147" s="91"/>
      <c r="N147" s="188"/>
      <c r="O147" s="38" t="s">
        <v>54</v>
      </c>
      <c r="P147" s="188"/>
      <c r="Q147" s="188"/>
      <c r="R147" s="188"/>
      <c r="S147" s="188"/>
      <c r="T147" s="188"/>
      <c r="U147" s="188"/>
      <c r="V147" s="188"/>
      <c r="W147" s="188"/>
      <c r="X147" s="188"/>
      <c r="Y147" s="188"/>
      <c r="Z147" s="188"/>
      <c r="AA147" s="188"/>
      <c r="AB147" s="11"/>
      <c r="AC147" s="11"/>
      <c r="AD147" s="11"/>
      <c r="AE147" s="11"/>
      <c r="AF147" s="11"/>
      <c r="AG147" s="11"/>
      <c r="AH147" s="11"/>
      <c r="AI147" s="11"/>
      <c r="AJ147" s="11"/>
      <c r="AK147" s="11"/>
      <c r="AL147" s="11"/>
    </row>
    <row r="148" spans="1:38" ht="25.5" customHeight="1">
      <c r="A148" s="70" t="s">
        <v>323</v>
      </c>
      <c r="B148" s="188" t="s">
        <v>479</v>
      </c>
      <c r="C148" s="172" t="s">
        <v>480</v>
      </c>
      <c r="D148" s="85" t="s">
        <v>481</v>
      </c>
      <c r="E148" s="101" t="str">
        <f t="shared" si="0"/>
        <v>d1qty_pur_aman
আমন ২০২৩-এ এই জাতের ধানের বীজ কি পরিমান (কেজি) ক্রয় করেছিলেন?</v>
      </c>
      <c r="F148" s="86" t="s">
        <v>478</v>
      </c>
      <c r="G148" s="86" t="s">
        <v>478</v>
      </c>
      <c r="H148" s="188"/>
      <c r="I148" s="189"/>
      <c r="J148" s="71" t="s">
        <v>128</v>
      </c>
      <c r="K148" s="135" t="s">
        <v>241</v>
      </c>
      <c r="L148" s="72" t="s">
        <v>129</v>
      </c>
      <c r="M148" s="91" t="s">
        <v>482</v>
      </c>
      <c r="N148" s="188"/>
      <c r="O148" s="38" t="s">
        <v>54</v>
      </c>
      <c r="P148" s="188"/>
      <c r="Q148" s="188"/>
      <c r="R148" s="188"/>
      <c r="S148" s="188"/>
      <c r="T148" s="188"/>
      <c r="U148" s="188"/>
      <c r="V148" s="188"/>
      <c r="W148" s="188"/>
      <c r="X148" s="188"/>
      <c r="Y148" s="188"/>
      <c r="Z148" s="188"/>
      <c r="AA148" s="188"/>
      <c r="AB148" s="11"/>
      <c r="AC148" s="11"/>
      <c r="AD148" s="11"/>
      <c r="AE148" s="11"/>
      <c r="AF148" s="11"/>
      <c r="AG148" s="11"/>
      <c r="AH148" s="11"/>
      <c r="AI148" s="11"/>
      <c r="AJ148" s="11"/>
      <c r="AK148" s="11"/>
      <c r="AL148" s="11"/>
    </row>
    <row r="149" spans="1:38" ht="25.5" customHeight="1">
      <c r="A149" s="70" t="s">
        <v>483</v>
      </c>
      <c r="B149" s="188" t="s">
        <v>484</v>
      </c>
      <c r="C149" s="74" t="s">
        <v>485</v>
      </c>
      <c r="D149" s="85" t="s">
        <v>486</v>
      </c>
      <c r="E149" s="101" t="str">
        <f t="shared" si="0"/>
        <v>d1trait_aman
আমন ২০২৩-এ আপনি প্রধানত কোন কারনে এই জাতটি পছন্দ করেছিলেন?</v>
      </c>
      <c r="F149" s="86" t="s">
        <v>478</v>
      </c>
      <c r="G149" s="86" t="s">
        <v>478</v>
      </c>
      <c r="H149" s="188"/>
      <c r="I149" s="189"/>
      <c r="J149" s="188"/>
      <c r="K149" s="188"/>
      <c r="L149" s="188"/>
      <c r="M149" s="91" t="s">
        <v>482</v>
      </c>
      <c r="N149" s="188"/>
      <c r="O149" s="38" t="s">
        <v>54</v>
      </c>
      <c r="P149" s="188"/>
      <c r="Q149" s="188"/>
      <c r="R149" s="188"/>
      <c r="S149" s="188"/>
      <c r="T149" s="188"/>
      <c r="U149" s="188"/>
      <c r="V149" s="188"/>
      <c r="W149" s="188"/>
      <c r="X149" s="188"/>
      <c r="Y149" s="188"/>
      <c r="Z149" s="188"/>
      <c r="AA149" s="188"/>
      <c r="AB149" s="11"/>
      <c r="AC149" s="11"/>
      <c r="AD149" s="11"/>
      <c r="AE149" s="11"/>
      <c r="AF149" s="11"/>
      <c r="AG149" s="11"/>
      <c r="AH149" s="11"/>
      <c r="AI149" s="11"/>
      <c r="AJ149" s="11"/>
      <c r="AK149" s="11"/>
      <c r="AL149" s="11"/>
    </row>
    <row r="150" spans="1:38" ht="15.75" customHeight="1">
      <c r="A150" s="175" t="s">
        <v>144</v>
      </c>
      <c r="B150" s="176" t="s">
        <v>487</v>
      </c>
      <c r="C150" s="177" t="s">
        <v>167</v>
      </c>
      <c r="D150" s="95" t="s">
        <v>168</v>
      </c>
      <c r="E150" s="101" t="str">
        <f t="shared" si="0"/>
        <v>d1trait_aman_oth
অন্যান্য(উল্লেখ করুন)</v>
      </c>
      <c r="F150" s="86" t="s">
        <v>478</v>
      </c>
      <c r="G150" s="86" t="s">
        <v>478</v>
      </c>
      <c r="H150" s="180"/>
      <c r="I150" s="179"/>
      <c r="J150" s="180"/>
      <c r="K150" s="180"/>
      <c r="L150" s="180"/>
      <c r="M150" s="91" t="s">
        <v>488</v>
      </c>
      <c r="N150" s="180"/>
      <c r="O150" s="38" t="s">
        <v>54</v>
      </c>
      <c r="P150" s="180"/>
      <c r="Q150" s="180"/>
      <c r="R150" s="180"/>
      <c r="S150" s="180"/>
      <c r="T150" s="180"/>
      <c r="U150" s="180"/>
      <c r="V150" s="180"/>
      <c r="W150" s="180"/>
      <c r="X150" s="180"/>
      <c r="Y150" s="180"/>
      <c r="Z150" s="180"/>
      <c r="AA150" s="180"/>
      <c r="AB150" s="22"/>
      <c r="AC150" s="22"/>
      <c r="AD150" s="22"/>
      <c r="AE150" s="22"/>
      <c r="AF150" s="22"/>
      <c r="AG150" s="22"/>
      <c r="AH150" s="22"/>
      <c r="AI150" s="22"/>
      <c r="AJ150" s="22"/>
      <c r="AK150" s="22"/>
      <c r="AL150" s="22"/>
    </row>
    <row r="151" spans="1:38" ht="25.5" customHeight="1">
      <c r="A151" s="70" t="s">
        <v>148</v>
      </c>
      <c r="B151" s="188" t="s">
        <v>489</v>
      </c>
      <c r="C151" s="172" t="s">
        <v>490</v>
      </c>
      <c r="D151" s="85" t="s">
        <v>491</v>
      </c>
      <c r="E151" s="101" t="str">
        <f t="shared" si="0"/>
        <v>d1sell_aus
আউস-2023-এ কি আপনি এই প্রজাতি বিক্রি করেছেন?</v>
      </c>
      <c r="F151" s="86" t="s">
        <v>478</v>
      </c>
      <c r="G151" s="86" t="s">
        <v>478</v>
      </c>
      <c r="H151" s="188"/>
      <c r="I151" s="189"/>
      <c r="J151" s="188"/>
      <c r="K151" s="188"/>
      <c r="L151" s="188"/>
      <c r="M151" s="91"/>
      <c r="N151" s="188"/>
      <c r="O151" s="38" t="s">
        <v>54</v>
      </c>
      <c r="P151" s="188"/>
      <c r="Q151" s="188"/>
      <c r="R151" s="188"/>
      <c r="S151" s="188"/>
      <c r="T151" s="188"/>
      <c r="U151" s="188"/>
      <c r="V151" s="188"/>
      <c r="W151" s="188"/>
      <c r="X151" s="188"/>
      <c r="Y151" s="188"/>
      <c r="Z151" s="188"/>
      <c r="AA151" s="188"/>
      <c r="AB151" s="11"/>
      <c r="AC151" s="11"/>
      <c r="AD151" s="11"/>
      <c r="AE151" s="11"/>
      <c r="AF151" s="11"/>
      <c r="AG151" s="11"/>
      <c r="AH151" s="11"/>
      <c r="AI151" s="11"/>
      <c r="AJ151" s="11"/>
      <c r="AK151" s="11"/>
      <c r="AL151" s="11"/>
    </row>
    <row r="152" spans="1:38" ht="25.5" customHeight="1">
      <c r="A152" s="70" t="s">
        <v>323</v>
      </c>
      <c r="B152" s="188" t="s">
        <v>492</v>
      </c>
      <c r="C152" s="172" t="s">
        <v>493</v>
      </c>
      <c r="D152" s="85" t="s">
        <v>494</v>
      </c>
      <c r="E152" s="101" t="str">
        <f t="shared" si="0"/>
        <v>d1qty_pur_aus
আউস-2023-এ এই জাতের ধানের বীজ কি পরিমান (কেজি) ক্রয় করেছিলেন?</v>
      </c>
      <c r="F152" s="86" t="s">
        <v>478</v>
      </c>
      <c r="G152" s="86" t="s">
        <v>478</v>
      </c>
      <c r="H152" s="188"/>
      <c r="I152" s="189"/>
      <c r="J152" s="71" t="s">
        <v>128</v>
      </c>
      <c r="K152" s="135" t="s">
        <v>241</v>
      </c>
      <c r="L152" s="72" t="s">
        <v>129</v>
      </c>
      <c r="M152" s="91" t="s">
        <v>495</v>
      </c>
      <c r="N152" s="188"/>
      <c r="O152" s="38" t="s">
        <v>54</v>
      </c>
      <c r="P152" s="188"/>
      <c r="Q152" s="188"/>
      <c r="R152" s="188"/>
      <c r="S152" s="188"/>
      <c r="T152" s="188"/>
      <c r="U152" s="188"/>
      <c r="V152" s="188"/>
      <c r="W152" s="188"/>
      <c r="X152" s="188"/>
      <c r="Y152" s="188"/>
      <c r="Z152" s="188"/>
      <c r="AA152" s="188"/>
      <c r="AB152" s="11"/>
      <c r="AC152" s="11"/>
      <c r="AD152" s="11"/>
      <c r="AE152" s="11"/>
      <c r="AF152" s="11"/>
      <c r="AG152" s="11"/>
      <c r="AH152" s="11"/>
      <c r="AI152" s="11"/>
      <c r="AJ152" s="11"/>
      <c r="AK152" s="11"/>
      <c r="AL152" s="11"/>
    </row>
    <row r="153" spans="1:38" ht="25.5" customHeight="1">
      <c r="A153" s="70" t="s">
        <v>483</v>
      </c>
      <c r="B153" s="188" t="s">
        <v>496</v>
      </c>
      <c r="C153" s="74" t="s">
        <v>497</v>
      </c>
      <c r="D153" s="85" t="s">
        <v>498</v>
      </c>
      <c r="E153" s="101" t="str">
        <f t="shared" si="0"/>
        <v>d1trait_aus
আউস-2023-এ আপনি প্রধানত কোন কারনে এই জাতটি পছন্দ করেছিলেন?</v>
      </c>
      <c r="F153" s="86" t="s">
        <v>478</v>
      </c>
      <c r="G153" s="86" t="s">
        <v>478</v>
      </c>
      <c r="H153" s="188"/>
      <c r="I153" s="189"/>
      <c r="J153" s="188"/>
      <c r="K153" s="188"/>
      <c r="L153" s="188"/>
      <c r="M153" s="91" t="s">
        <v>495</v>
      </c>
      <c r="N153" s="188"/>
      <c r="O153" s="38" t="s">
        <v>54</v>
      </c>
      <c r="P153" s="188"/>
      <c r="Q153" s="188"/>
      <c r="R153" s="188"/>
      <c r="S153" s="188"/>
      <c r="T153" s="188"/>
      <c r="U153" s="188"/>
      <c r="V153" s="188"/>
      <c r="W153" s="188"/>
      <c r="X153" s="188"/>
      <c r="Y153" s="188"/>
      <c r="Z153" s="188"/>
      <c r="AA153" s="188"/>
      <c r="AB153" s="11"/>
      <c r="AC153" s="11"/>
      <c r="AD153" s="11"/>
      <c r="AE153" s="11"/>
      <c r="AF153" s="11"/>
      <c r="AG153" s="11"/>
      <c r="AH153" s="11"/>
      <c r="AI153" s="11"/>
      <c r="AJ153" s="11"/>
      <c r="AK153" s="11"/>
      <c r="AL153" s="11"/>
    </row>
    <row r="154" spans="1:38" ht="15.75" customHeight="1">
      <c r="A154" s="175" t="s">
        <v>144</v>
      </c>
      <c r="B154" s="176" t="s">
        <v>499</v>
      </c>
      <c r="C154" s="177" t="s">
        <v>167</v>
      </c>
      <c r="D154" s="95" t="s">
        <v>168</v>
      </c>
      <c r="E154" s="101" t="str">
        <f t="shared" si="0"/>
        <v>d1trait_aus_oth
অন্যান্য(উল্লেখ করুন)</v>
      </c>
      <c r="F154" s="86" t="s">
        <v>478</v>
      </c>
      <c r="G154" s="86" t="s">
        <v>478</v>
      </c>
      <c r="H154" s="180"/>
      <c r="I154" s="179"/>
      <c r="J154" s="180"/>
      <c r="K154" s="180"/>
      <c r="L154" s="180"/>
      <c r="M154" s="91" t="s">
        <v>500</v>
      </c>
      <c r="N154" s="180"/>
      <c r="O154" s="38" t="s">
        <v>54</v>
      </c>
      <c r="P154" s="180"/>
      <c r="Q154" s="180"/>
      <c r="R154" s="180"/>
      <c r="S154" s="180"/>
      <c r="T154" s="180"/>
      <c r="U154" s="180"/>
      <c r="V154" s="180"/>
      <c r="W154" s="180"/>
      <c r="X154" s="180"/>
      <c r="Y154" s="180"/>
      <c r="Z154" s="180"/>
      <c r="AA154" s="180"/>
      <c r="AB154" s="22"/>
      <c r="AC154" s="22"/>
      <c r="AD154" s="22"/>
      <c r="AE154" s="22"/>
      <c r="AF154" s="22"/>
      <c r="AG154" s="22"/>
      <c r="AH154" s="22"/>
      <c r="AI154" s="22"/>
      <c r="AJ154" s="22"/>
      <c r="AK154" s="22"/>
      <c r="AL154" s="22"/>
    </row>
    <row r="155" spans="1:38" ht="25.5" customHeight="1">
      <c r="A155" s="70" t="s">
        <v>148</v>
      </c>
      <c r="B155" s="188" t="s">
        <v>501</v>
      </c>
      <c r="C155" s="172" t="s">
        <v>502</v>
      </c>
      <c r="D155" s="85" t="s">
        <v>503</v>
      </c>
      <c r="E155" s="101" t="str">
        <f t="shared" si="0"/>
        <v>d1sell_boro
বোরো-2023-এ কি আপনি এই প্রজাতি বিক্রি করেছেন?</v>
      </c>
      <c r="F155" s="86" t="s">
        <v>478</v>
      </c>
      <c r="G155" s="86" t="s">
        <v>478</v>
      </c>
      <c r="H155" s="188"/>
      <c r="I155" s="189"/>
      <c r="J155" s="188"/>
      <c r="K155" s="188"/>
      <c r="L155" s="188"/>
      <c r="M155" s="91"/>
      <c r="N155" s="188"/>
      <c r="O155" s="38" t="s">
        <v>54</v>
      </c>
      <c r="P155" s="188"/>
      <c r="Q155" s="188"/>
      <c r="R155" s="188"/>
      <c r="S155" s="188"/>
      <c r="T155" s="188"/>
      <c r="U155" s="188"/>
      <c r="V155" s="188"/>
      <c r="W155" s="188"/>
      <c r="X155" s="188"/>
      <c r="Y155" s="188"/>
      <c r="Z155" s="188"/>
      <c r="AA155" s="188"/>
      <c r="AB155" s="11"/>
      <c r="AC155" s="11"/>
      <c r="AD155" s="11"/>
      <c r="AE155" s="11"/>
      <c r="AF155" s="11"/>
      <c r="AG155" s="11"/>
      <c r="AH155" s="11"/>
      <c r="AI155" s="11"/>
      <c r="AJ155" s="11"/>
      <c r="AK155" s="11"/>
      <c r="AL155" s="11"/>
    </row>
    <row r="156" spans="1:38" ht="25.5" customHeight="1">
      <c r="A156" s="70" t="s">
        <v>323</v>
      </c>
      <c r="B156" s="188" t="s">
        <v>504</v>
      </c>
      <c r="C156" s="172" t="s">
        <v>505</v>
      </c>
      <c r="D156" s="85" t="s">
        <v>506</v>
      </c>
      <c r="E156" s="101" t="str">
        <f t="shared" si="0"/>
        <v>d1qty_pur_boro
বোরো-2023 এ এই জাতের ধানের বীজ কি পরিমান (কেজি) ক্রয় করেছিলেন?</v>
      </c>
      <c r="F156" s="86" t="s">
        <v>478</v>
      </c>
      <c r="G156" s="86" t="s">
        <v>478</v>
      </c>
      <c r="H156" s="188"/>
      <c r="I156" s="189"/>
      <c r="J156" s="71" t="s">
        <v>128</v>
      </c>
      <c r="K156" s="135" t="s">
        <v>241</v>
      </c>
      <c r="L156" s="72" t="s">
        <v>129</v>
      </c>
      <c r="M156" s="91" t="s">
        <v>507</v>
      </c>
      <c r="N156" s="188"/>
      <c r="O156" s="38" t="s">
        <v>54</v>
      </c>
      <c r="P156" s="188"/>
      <c r="Q156" s="188"/>
      <c r="R156" s="188"/>
      <c r="S156" s="188"/>
      <c r="T156" s="188"/>
      <c r="U156" s="188"/>
      <c r="V156" s="188"/>
      <c r="W156" s="188"/>
      <c r="X156" s="188"/>
      <c r="Y156" s="188"/>
      <c r="Z156" s="188"/>
      <c r="AA156" s="188"/>
      <c r="AB156" s="11"/>
      <c r="AC156" s="11"/>
      <c r="AD156" s="11"/>
      <c r="AE156" s="11"/>
      <c r="AF156" s="11"/>
      <c r="AG156" s="11"/>
      <c r="AH156" s="11"/>
      <c r="AI156" s="11"/>
      <c r="AJ156" s="11"/>
      <c r="AK156" s="11"/>
      <c r="AL156" s="11"/>
    </row>
    <row r="157" spans="1:38" ht="25.5" customHeight="1">
      <c r="A157" s="70" t="s">
        <v>483</v>
      </c>
      <c r="B157" s="188" t="s">
        <v>508</v>
      </c>
      <c r="C157" s="74" t="s">
        <v>509</v>
      </c>
      <c r="D157" s="85" t="s">
        <v>510</v>
      </c>
      <c r="E157" s="101" t="str">
        <f t="shared" si="0"/>
        <v>d1trait_boro
বোরো-2023-এ আপনি প্রধানত কোন কারনে এই জাতটি পছন্দ করেছিলেন?</v>
      </c>
      <c r="F157" s="86" t="s">
        <v>478</v>
      </c>
      <c r="G157" s="86" t="s">
        <v>478</v>
      </c>
      <c r="H157" s="188"/>
      <c r="I157" s="189"/>
      <c r="J157" s="188"/>
      <c r="K157" s="188"/>
      <c r="L157" s="188"/>
      <c r="M157" s="91" t="s">
        <v>507</v>
      </c>
      <c r="N157" s="188"/>
      <c r="O157" s="38" t="s">
        <v>54</v>
      </c>
      <c r="P157" s="188"/>
      <c r="Q157" s="188"/>
      <c r="R157" s="188"/>
      <c r="S157" s="188"/>
      <c r="T157" s="188"/>
      <c r="U157" s="188"/>
      <c r="V157" s="188"/>
      <c r="W157" s="188"/>
      <c r="X157" s="188"/>
      <c r="Y157" s="188"/>
      <c r="Z157" s="188"/>
      <c r="AA157" s="188"/>
      <c r="AB157" s="11"/>
      <c r="AC157" s="11"/>
      <c r="AD157" s="11"/>
      <c r="AE157" s="11"/>
      <c r="AF157" s="11"/>
      <c r="AG157" s="11"/>
      <c r="AH157" s="11"/>
      <c r="AI157" s="11"/>
      <c r="AJ157" s="11"/>
      <c r="AK157" s="11"/>
      <c r="AL157" s="11"/>
    </row>
    <row r="158" spans="1:38" ht="15.75" customHeight="1">
      <c r="A158" s="175" t="s">
        <v>144</v>
      </c>
      <c r="B158" s="176" t="s">
        <v>511</v>
      </c>
      <c r="C158" s="177" t="s">
        <v>167</v>
      </c>
      <c r="D158" s="95" t="s">
        <v>168</v>
      </c>
      <c r="E158" s="101" t="str">
        <f t="shared" si="0"/>
        <v>d1trait_boro_oth
অন্যান্য(উল্লেখ করুন)</v>
      </c>
      <c r="F158" s="86" t="s">
        <v>478</v>
      </c>
      <c r="G158" s="86" t="s">
        <v>478</v>
      </c>
      <c r="H158" s="180"/>
      <c r="I158" s="179"/>
      <c r="J158" s="180"/>
      <c r="K158" s="180"/>
      <c r="L158" s="180"/>
      <c r="M158" s="91" t="s">
        <v>512</v>
      </c>
      <c r="N158" s="180"/>
      <c r="O158" s="38" t="s">
        <v>54</v>
      </c>
      <c r="P158" s="180"/>
      <c r="Q158" s="180"/>
      <c r="R158" s="180"/>
      <c r="S158" s="180"/>
      <c r="T158" s="180"/>
      <c r="U158" s="180"/>
      <c r="V158" s="180"/>
      <c r="W158" s="180"/>
      <c r="X158" s="180"/>
      <c r="Y158" s="180"/>
      <c r="Z158" s="180"/>
      <c r="AA158" s="180"/>
      <c r="AB158" s="22"/>
      <c r="AC158" s="22"/>
      <c r="AD158" s="22"/>
      <c r="AE158" s="22"/>
      <c r="AF158" s="22"/>
      <c r="AG158" s="22"/>
      <c r="AH158" s="22"/>
      <c r="AI158" s="22"/>
      <c r="AJ158" s="22"/>
      <c r="AK158" s="22"/>
      <c r="AL158" s="22"/>
    </row>
    <row r="159" spans="1:38" ht="25.5" customHeight="1">
      <c r="A159" s="99" t="s">
        <v>178</v>
      </c>
      <c r="B159" s="100" t="s">
        <v>463</v>
      </c>
      <c r="C159" s="185" t="s">
        <v>464</v>
      </c>
      <c r="D159" s="185" t="s">
        <v>464</v>
      </c>
      <c r="E159" s="101" t="str">
        <f t="shared" si="0"/>
        <v>d1paddy_var_repeat
Questions for paddy varieties</v>
      </c>
      <c r="F159" s="102"/>
      <c r="G159" s="102"/>
      <c r="H159" s="102"/>
      <c r="I159" s="102"/>
      <c r="J159" s="102"/>
      <c r="K159" s="102"/>
      <c r="L159" s="102"/>
      <c r="M159" s="100"/>
      <c r="N159" s="102"/>
      <c r="O159" s="102"/>
      <c r="P159" s="102"/>
      <c r="Q159" s="102"/>
      <c r="R159" s="103"/>
      <c r="S159" s="104"/>
      <c r="T159" s="102"/>
      <c r="U159" s="102"/>
      <c r="V159" s="102"/>
      <c r="W159" s="102"/>
      <c r="X159" s="102"/>
      <c r="Y159" s="102"/>
      <c r="Z159" s="102"/>
      <c r="AA159" s="102"/>
      <c r="AB159" s="22"/>
      <c r="AC159" s="22"/>
      <c r="AD159" s="22"/>
      <c r="AE159" s="22"/>
      <c r="AF159" s="22"/>
      <c r="AG159" s="22"/>
      <c r="AH159" s="22"/>
      <c r="AI159" s="22"/>
      <c r="AJ159" s="22"/>
      <c r="AK159" s="22"/>
      <c r="AL159" s="22"/>
    </row>
    <row r="160" spans="1:38" ht="25.5" customHeight="1">
      <c r="A160" s="7" t="s">
        <v>513</v>
      </c>
      <c r="B160" s="12" t="s">
        <v>514</v>
      </c>
      <c r="C160" s="74" t="s">
        <v>515</v>
      </c>
      <c r="D160" s="85" t="s">
        <v>516</v>
      </c>
      <c r="E160" s="101" t="str">
        <f t="shared" si="0"/>
        <v>d1fail_freq
এমন হয়েছে কি যে কৃষকরা কোন নির্দিষ্ট ধরনের ধানের বীজ কিনতে চেয়েছিল কিন্ত আপনি তা সরবরাহ করতে পারেন নি?</v>
      </c>
      <c r="F160" s="86"/>
      <c r="G160" s="12"/>
      <c r="H160" s="12"/>
      <c r="I160" s="190"/>
      <c r="J160" s="12"/>
      <c r="K160" s="12"/>
      <c r="L160" s="12"/>
      <c r="M160" s="91" t="s">
        <v>460</v>
      </c>
      <c r="N160" s="12"/>
      <c r="O160" s="38" t="s">
        <v>54</v>
      </c>
      <c r="P160" s="12"/>
      <c r="Q160" s="12"/>
      <c r="R160" s="128"/>
      <c r="S160" s="129"/>
      <c r="T160" s="12"/>
      <c r="U160" s="12"/>
      <c r="V160" s="12"/>
      <c r="W160" s="12"/>
      <c r="X160" s="12"/>
      <c r="Y160" s="12"/>
      <c r="Z160" s="12"/>
      <c r="AA160" s="12"/>
      <c r="AB160" s="11"/>
      <c r="AC160" s="11"/>
      <c r="AD160" s="11"/>
      <c r="AE160" s="11"/>
      <c r="AF160" s="11"/>
      <c r="AG160" s="11"/>
      <c r="AH160" s="11"/>
      <c r="AI160" s="11"/>
      <c r="AJ160" s="11"/>
      <c r="AK160" s="11"/>
      <c r="AL160" s="11"/>
    </row>
    <row r="161" spans="1:38" ht="25.5" customHeight="1">
      <c r="A161" s="7" t="s">
        <v>453</v>
      </c>
      <c r="B161" s="12" t="s">
        <v>517</v>
      </c>
      <c r="C161" s="74" t="s">
        <v>518</v>
      </c>
      <c r="D161" s="85" t="s">
        <v>519</v>
      </c>
      <c r="E161" s="101" t="str">
        <f t="shared" si="0"/>
        <v xml:space="preserve">d1fail_paddy
যদি সরবরাহ করতে না পেরে থাকেন তবে কোন কোন ধরনের ধানের বীজ আপনি সরবরাহ করতে পারেন নি?
[একের অধিক উত্তর আসতে পারে]
</v>
      </c>
      <c r="F161" s="86"/>
      <c r="G161" s="12"/>
      <c r="H161" s="12"/>
      <c r="I161" s="36" t="s">
        <v>459</v>
      </c>
      <c r="J161" s="12"/>
      <c r="K161" s="12"/>
      <c r="L161" s="12"/>
      <c r="M161" s="91" t="s">
        <v>520</v>
      </c>
      <c r="N161" s="12"/>
      <c r="O161" s="38" t="s">
        <v>54</v>
      </c>
      <c r="P161" s="12"/>
      <c r="Q161" s="12"/>
      <c r="R161" s="128"/>
      <c r="S161" s="129"/>
      <c r="T161" s="12"/>
      <c r="U161" s="12"/>
      <c r="V161" s="12"/>
      <c r="W161" s="12"/>
      <c r="X161" s="12"/>
      <c r="Y161" s="12"/>
      <c r="Z161" s="12"/>
      <c r="AA161" s="12"/>
      <c r="AB161" s="11"/>
      <c r="AC161" s="11"/>
      <c r="AD161" s="11"/>
      <c r="AE161" s="11"/>
      <c r="AF161" s="11"/>
      <c r="AG161" s="11"/>
      <c r="AH161" s="11"/>
      <c r="AI161" s="11"/>
      <c r="AJ161" s="11"/>
      <c r="AK161" s="11"/>
      <c r="AL161" s="11"/>
    </row>
    <row r="162" spans="1:38" ht="15.75" customHeight="1">
      <c r="A162" s="175" t="s">
        <v>144</v>
      </c>
      <c r="B162" s="176" t="s">
        <v>521</v>
      </c>
      <c r="C162" s="177" t="s">
        <v>167</v>
      </c>
      <c r="D162" s="95" t="s">
        <v>168</v>
      </c>
      <c r="E162" s="101" t="str">
        <f t="shared" si="0"/>
        <v>d1fail_paddy_oth
অন্যান্য(উল্লেখ করুন)</v>
      </c>
      <c r="F162" s="178"/>
      <c r="G162" s="179"/>
      <c r="H162" s="180"/>
      <c r="I162" s="179"/>
      <c r="J162" s="180"/>
      <c r="K162" s="180"/>
      <c r="L162" s="180"/>
      <c r="M162" s="91" t="s">
        <v>522</v>
      </c>
      <c r="N162" s="180"/>
      <c r="O162" s="38" t="s">
        <v>54</v>
      </c>
      <c r="P162" s="180"/>
      <c r="Q162" s="180"/>
      <c r="R162" s="180"/>
      <c r="S162" s="180"/>
      <c r="T162" s="180"/>
      <c r="U162" s="180"/>
      <c r="V162" s="180"/>
      <c r="W162" s="180"/>
      <c r="X162" s="180"/>
      <c r="Y162" s="180"/>
      <c r="Z162" s="180"/>
      <c r="AA162" s="180"/>
      <c r="AB162" s="22"/>
      <c r="AC162" s="22"/>
      <c r="AD162" s="22"/>
      <c r="AE162" s="22"/>
      <c r="AF162" s="22"/>
      <c r="AG162" s="22"/>
      <c r="AH162" s="22"/>
      <c r="AI162" s="22"/>
      <c r="AJ162" s="22"/>
      <c r="AK162" s="22"/>
      <c r="AL162" s="22"/>
    </row>
    <row r="163" spans="1:38" ht="25.5" customHeight="1">
      <c r="A163" s="7" t="s">
        <v>523</v>
      </c>
      <c r="B163" s="8" t="s">
        <v>524</v>
      </c>
      <c r="C163" s="173" t="s">
        <v>525</v>
      </c>
      <c r="D163" s="85" t="s">
        <v>526</v>
      </c>
      <c r="E163" s="101" t="str">
        <f t="shared" si="0"/>
        <v xml:space="preserve">d1seed_source
আপনি প্রধানত কোথা থেকে বীজ কিনেন?
(যে কোন ফসল)
</v>
      </c>
      <c r="F163" s="86"/>
      <c r="G163" s="8"/>
      <c r="H163" s="8"/>
      <c r="I163" s="136"/>
      <c r="J163" s="8"/>
      <c r="K163" s="8"/>
      <c r="L163" s="8"/>
      <c r="M163" s="91"/>
      <c r="N163" s="8"/>
      <c r="O163" s="38" t="s">
        <v>54</v>
      </c>
      <c r="P163" s="8"/>
      <c r="Q163" s="8"/>
      <c r="R163" s="8"/>
      <c r="S163" s="8"/>
      <c r="T163" s="8"/>
      <c r="U163" s="8"/>
      <c r="V163" s="8"/>
      <c r="W163" s="8"/>
      <c r="X163" s="8"/>
      <c r="Y163" s="8"/>
      <c r="Z163" s="8"/>
      <c r="AA163" s="8"/>
      <c r="AB163" s="11"/>
      <c r="AC163" s="11"/>
      <c r="AD163" s="11"/>
      <c r="AE163" s="11"/>
      <c r="AF163" s="11"/>
      <c r="AG163" s="11"/>
      <c r="AH163" s="11"/>
      <c r="AI163" s="11"/>
      <c r="AJ163" s="11"/>
      <c r="AK163" s="11"/>
      <c r="AL163" s="11"/>
    </row>
    <row r="164" spans="1:38" ht="15.75" customHeight="1">
      <c r="A164" s="175" t="s">
        <v>144</v>
      </c>
      <c r="B164" s="176" t="s">
        <v>527</v>
      </c>
      <c r="C164" s="177" t="s">
        <v>167</v>
      </c>
      <c r="D164" s="95" t="s">
        <v>168</v>
      </c>
      <c r="E164" s="191" t="str">
        <f t="shared" si="0"/>
        <v>d1seed_source_oth
অন্যান্য(উল্লেখ করুন)</v>
      </c>
      <c r="F164" s="178"/>
      <c r="G164" s="179"/>
      <c r="H164" s="180"/>
      <c r="I164" s="179"/>
      <c r="J164" s="180"/>
      <c r="K164" s="180"/>
      <c r="L164" s="180"/>
      <c r="M164" s="91" t="s">
        <v>528</v>
      </c>
      <c r="N164" s="180"/>
      <c r="O164" s="38" t="s">
        <v>54</v>
      </c>
      <c r="P164" s="180"/>
      <c r="Q164" s="180"/>
      <c r="R164" s="180"/>
      <c r="S164" s="180"/>
      <c r="T164" s="180"/>
      <c r="U164" s="180"/>
      <c r="V164" s="180"/>
      <c r="W164" s="180"/>
      <c r="X164" s="180"/>
      <c r="Y164" s="180"/>
      <c r="Z164" s="180"/>
      <c r="AA164" s="180"/>
      <c r="AB164" s="22"/>
      <c r="AC164" s="22"/>
      <c r="AD164" s="22"/>
      <c r="AE164" s="22"/>
      <c r="AF164" s="22"/>
      <c r="AG164" s="22"/>
      <c r="AH164" s="22"/>
      <c r="AI164" s="22"/>
      <c r="AJ164" s="22"/>
      <c r="AK164" s="22"/>
      <c r="AL164" s="22"/>
    </row>
    <row r="165" spans="1:38" ht="15.75" customHeight="1">
      <c r="A165" s="7" t="s">
        <v>323</v>
      </c>
      <c r="B165" s="7" t="s">
        <v>529</v>
      </c>
      <c r="C165" s="172" t="s">
        <v>530</v>
      </c>
      <c r="D165" s="192" t="s">
        <v>531</v>
      </c>
      <c r="E165" s="191" t="str">
        <f t="shared" si="0"/>
        <v>d1badc_distance
আপনি যদি বিএডিসি আউটলেট/ বিক্রয় কেন্দ্র থেকে বীজ কিনে থাকেন, আপনার অবস্থান থেকে বিএডিসি আউটলেটের অবস্থান কত দূর ছিল? [meters]</v>
      </c>
      <c r="F165" s="8"/>
      <c r="G165" s="8"/>
      <c r="H165" s="7"/>
      <c r="I165" s="7"/>
      <c r="J165" s="7"/>
      <c r="K165" s="8"/>
      <c r="L165" s="8"/>
      <c r="M165" s="91" t="s">
        <v>532</v>
      </c>
      <c r="N165" s="7"/>
      <c r="O165" s="38" t="s">
        <v>54</v>
      </c>
      <c r="P165" s="7"/>
      <c r="Q165" s="7"/>
      <c r="R165" s="7"/>
      <c r="S165" s="7"/>
      <c r="T165" s="7"/>
      <c r="U165" s="7"/>
      <c r="V165" s="7"/>
      <c r="W165" s="7"/>
      <c r="X165" s="7"/>
      <c r="Y165" s="7"/>
      <c r="Z165" s="7"/>
      <c r="AA165" s="7"/>
      <c r="AB165" s="11"/>
      <c r="AC165" s="11"/>
      <c r="AD165" s="11"/>
      <c r="AE165" s="11"/>
      <c r="AF165" s="11"/>
      <c r="AG165" s="11"/>
      <c r="AH165" s="11"/>
      <c r="AI165" s="11"/>
      <c r="AJ165" s="11"/>
      <c r="AK165" s="11"/>
      <c r="AL165" s="11"/>
    </row>
    <row r="166" spans="1:38" ht="15.75" customHeight="1">
      <c r="A166" s="7" t="s">
        <v>533</v>
      </c>
      <c r="B166" s="7" t="s">
        <v>534</v>
      </c>
      <c r="C166" s="173" t="s">
        <v>535</v>
      </c>
      <c r="D166" s="181" t="s">
        <v>536</v>
      </c>
      <c r="E166" s="191" t="str">
        <f t="shared" si="0"/>
        <v>d1seed_brand
আপনি কোন কোম্পানির/ ব্রান্ডের বীজ কিনেছেন?</v>
      </c>
      <c r="F166" s="8"/>
      <c r="G166" s="8"/>
      <c r="H166" s="7"/>
      <c r="I166" s="7"/>
      <c r="J166" s="7"/>
      <c r="K166" s="8"/>
      <c r="L166" s="8"/>
      <c r="M166" s="7"/>
      <c r="N166" s="7"/>
      <c r="O166" s="38" t="s">
        <v>54</v>
      </c>
      <c r="P166" s="7"/>
      <c r="Q166" s="7"/>
      <c r="R166" s="7"/>
      <c r="S166" s="7"/>
      <c r="T166" s="7"/>
      <c r="U166" s="7"/>
      <c r="V166" s="7"/>
      <c r="W166" s="7"/>
      <c r="X166" s="7"/>
      <c r="Y166" s="7"/>
      <c r="Z166" s="7"/>
      <c r="AA166" s="7"/>
      <c r="AB166" s="11"/>
      <c r="AC166" s="11"/>
      <c r="AD166" s="11"/>
      <c r="AE166" s="11"/>
      <c r="AF166" s="11"/>
      <c r="AG166" s="11"/>
      <c r="AH166" s="11"/>
      <c r="AI166" s="11"/>
      <c r="AJ166" s="11"/>
      <c r="AK166" s="11"/>
      <c r="AL166" s="11"/>
    </row>
    <row r="167" spans="1:38" ht="15.75" customHeight="1">
      <c r="A167" s="175" t="s">
        <v>144</v>
      </c>
      <c r="B167" s="176" t="s">
        <v>537</v>
      </c>
      <c r="C167" s="177" t="s">
        <v>167</v>
      </c>
      <c r="D167" s="95" t="s">
        <v>168</v>
      </c>
      <c r="E167" s="191" t="str">
        <f t="shared" si="0"/>
        <v>d1seed_brand_oth
অন্যান্য(উল্লেখ করুন)</v>
      </c>
      <c r="F167" s="178"/>
      <c r="G167" s="179"/>
      <c r="H167" s="180"/>
      <c r="I167" s="179"/>
      <c r="J167" s="180"/>
      <c r="K167" s="180"/>
      <c r="L167" s="180"/>
      <c r="M167" s="91" t="s">
        <v>538</v>
      </c>
      <c r="N167" s="180"/>
      <c r="O167" s="38" t="s">
        <v>54</v>
      </c>
      <c r="P167" s="180"/>
      <c r="Q167" s="180"/>
      <c r="R167" s="180"/>
      <c r="S167" s="180"/>
      <c r="T167" s="180"/>
      <c r="U167" s="180"/>
      <c r="V167" s="180"/>
      <c r="W167" s="180"/>
      <c r="X167" s="180"/>
      <c r="Y167" s="180"/>
      <c r="Z167" s="180"/>
      <c r="AA167" s="180"/>
      <c r="AB167" s="22"/>
      <c r="AC167" s="22"/>
      <c r="AD167" s="22"/>
      <c r="AE167" s="22"/>
      <c r="AF167" s="22"/>
      <c r="AG167" s="22"/>
      <c r="AH167" s="22"/>
      <c r="AI167" s="22"/>
      <c r="AJ167" s="22"/>
      <c r="AK167" s="22"/>
      <c r="AL167" s="22"/>
    </row>
    <row r="168" spans="1:38" ht="15.75" customHeight="1">
      <c r="A168" s="175" t="s">
        <v>144</v>
      </c>
      <c r="B168" s="176" t="s">
        <v>539</v>
      </c>
      <c r="C168" s="182" t="s">
        <v>540</v>
      </c>
      <c r="D168" s="95" t="s">
        <v>541</v>
      </c>
      <c r="E168" s="191" t="str">
        <f t="shared" si="0"/>
        <v>d1seed_brand_ngo
অন্যান্য NGO (উল্লেখ করুন)</v>
      </c>
      <c r="F168" s="178"/>
      <c r="G168" s="179"/>
      <c r="H168" s="180"/>
      <c r="I168" s="179"/>
      <c r="J168" s="180"/>
      <c r="K168" s="180"/>
      <c r="L168" s="180"/>
      <c r="M168" s="91" t="s">
        <v>542</v>
      </c>
      <c r="N168" s="180"/>
      <c r="O168" s="38" t="s">
        <v>54</v>
      </c>
      <c r="P168" s="180"/>
      <c r="Q168" s="180"/>
      <c r="R168" s="180"/>
      <c r="S168" s="180"/>
      <c r="T168" s="180"/>
      <c r="U168" s="180"/>
      <c r="V168" s="180"/>
      <c r="W168" s="180"/>
      <c r="X168" s="180"/>
      <c r="Y168" s="180"/>
      <c r="Z168" s="180"/>
      <c r="AA168" s="180"/>
      <c r="AB168" s="22"/>
      <c r="AC168" s="22"/>
      <c r="AD168" s="22"/>
      <c r="AE168" s="22"/>
      <c r="AF168" s="22"/>
      <c r="AG168" s="22"/>
      <c r="AH168" s="22"/>
      <c r="AI168" s="22"/>
      <c r="AJ168" s="22"/>
      <c r="AK168" s="22"/>
      <c r="AL168" s="22"/>
    </row>
    <row r="169" spans="1:38" ht="15.75" customHeight="1">
      <c r="A169" s="7" t="s">
        <v>543</v>
      </c>
      <c r="B169" s="7" t="s">
        <v>544</v>
      </c>
      <c r="C169" s="173" t="s">
        <v>545</v>
      </c>
      <c r="D169" s="181" t="s">
        <v>546</v>
      </c>
      <c r="E169" s="191" t="str">
        <f t="shared" si="0"/>
        <v>d1seed_package
আপনি ধানের বীজ বস্তায় বা প্যাকেট নাকি খোলা বীজ একসাথে অনেক পরিমানে কিনেছিলেন?</v>
      </c>
      <c r="F169" s="8"/>
      <c r="G169" s="8"/>
      <c r="H169" s="7"/>
      <c r="I169" s="7"/>
      <c r="J169" s="7"/>
      <c r="K169" s="8"/>
      <c r="L169" s="8"/>
      <c r="M169" s="91" t="s">
        <v>460</v>
      </c>
      <c r="N169" s="7"/>
      <c r="O169" s="38" t="s">
        <v>54</v>
      </c>
      <c r="P169" s="7"/>
      <c r="Q169" s="7"/>
      <c r="R169" s="7"/>
      <c r="S169" s="7"/>
      <c r="T169" s="7"/>
      <c r="U169" s="7"/>
      <c r="V169" s="7"/>
      <c r="W169" s="7"/>
      <c r="X169" s="7"/>
      <c r="Y169" s="7"/>
      <c r="Z169" s="7"/>
      <c r="AA169" s="7"/>
      <c r="AB169" s="11"/>
      <c r="AC169" s="11"/>
      <c r="AD169" s="11"/>
      <c r="AE169" s="11"/>
      <c r="AF169" s="11"/>
      <c r="AG169" s="11"/>
      <c r="AH169" s="11"/>
      <c r="AI169" s="11"/>
      <c r="AJ169" s="11"/>
      <c r="AK169" s="11"/>
      <c r="AL169" s="11"/>
    </row>
    <row r="170" spans="1:38" ht="15.75" customHeight="1">
      <c r="A170" s="175" t="s">
        <v>144</v>
      </c>
      <c r="B170" s="176" t="s">
        <v>547</v>
      </c>
      <c r="C170" s="177" t="s">
        <v>167</v>
      </c>
      <c r="D170" s="95" t="s">
        <v>168</v>
      </c>
      <c r="E170" s="191" t="str">
        <f t="shared" si="0"/>
        <v>d1seed_pack_oth
অন্যান্য(উল্লেখ করুন)</v>
      </c>
      <c r="F170" s="178"/>
      <c r="G170" s="179"/>
      <c r="H170" s="180"/>
      <c r="I170" s="179"/>
      <c r="J170" s="180"/>
      <c r="K170" s="180"/>
      <c r="L170" s="180"/>
      <c r="M170" s="91" t="s">
        <v>548</v>
      </c>
      <c r="N170" s="180"/>
      <c r="O170" s="38" t="s">
        <v>54</v>
      </c>
      <c r="P170" s="180"/>
      <c r="Q170" s="180"/>
      <c r="R170" s="180"/>
      <c r="S170" s="180"/>
      <c r="T170" s="180"/>
      <c r="U170" s="180"/>
      <c r="V170" s="180"/>
      <c r="W170" s="180"/>
      <c r="X170" s="180"/>
      <c r="Y170" s="180"/>
      <c r="Z170" s="180"/>
      <c r="AA170" s="180"/>
      <c r="AB170" s="22"/>
      <c r="AC170" s="22"/>
      <c r="AD170" s="22"/>
      <c r="AE170" s="22"/>
      <c r="AF170" s="22"/>
      <c r="AG170" s="22"/>
      <c r="AH170" s="22"/>
      <c r="AI170" s="22"/>
      <c r="AJ170" s="22"/>
      <c r="AK170" s="22"/>
      <c r="AL170" s="22"/>
    </row>
    <row r="171" spans="1:38" ht="15.75" customHeight="1">
      <c r="A171" s="7" t="s">
        <v>148</v>
      </c>
      <c r="B171" s="7" t="s">
        <v>549</v>
      </c>
      <c r="C171" s="173" t="s">
        <v>550</v>
      </c>
      <c r="D171" s="181" t="s">
        <v>551</v>
      </c>
      <c r="E171" s="191" t="str">
        <f t="shared" si="0"/>
        <v>d1pack_certified
তথ্য সংগ্রহকারীগণ: যাচাই করে দেখুন যে প্যাকেট/বস্তাগুলি সমূহে "আসলেই লেবেলযুক্ত" (প্রত্যায়িত বীজ) কথাটি লেখা আছে কিনা্</v>
      </c>
      <c r="F171" s="8"/>
      <c r="G171" s="8"/>
      <c r="H171" s="7"/>
      <c r="I171" s="7"/>
      <c r="J171" s="7"/>
      <c r="K171" s="8"/>
      <c r="L171" s="8"/>
      <c r="M171" s="91" t="s">
        <v>552</v>
      </c>
      <c r="N171" s="7"/>
      <c r="O171" s="38" t="s">
        <v>54</v>
      </c>
      <c r="P171" s="7"/>
      <c r="Q171" s="7"/>
      <c r="R171" s="7"/>
      <c r="S171" s="7"/>
      <c r="T171" s="7"/>
      <c r="U171" s="7"/>
      <c r="V171" s="7"/>
      <c r="W171" s="7"/>
      <c r="X171" s="7"/>
      <c r="Y171" s="7"/>
      <c r="Z171" s="7"/>
      <c r="AA171" s="7"/>
      <c r="AB171" s="11"/>
      <c r="AC171" s="11"/>
      <c r="AD171" s="11"/>
      <c r="AE171" s="11"/>
      <c r="AF171" s="11"/>
      <c r="AG171" s="11"/>
      <c r="AH171" s="11"/>
      <c r="AI171" s="11"/>
      <c r="AJ171" s="11"/>
      <c r="AK171" s="11"/>
      <c r="AL171" s="11"/>
    </row>
    <row r="172" spans="1:38" ht="15.75" customHeight="1">
      <c r="A172" s="99" t="s">
        <v>139</v>
      </c>
      <c r="B172" s="100" t="s">
        <v>553</v>
      </c>
      <c r="C172" s="185" t="s">
        <v>554</v>
      </c>
      <c r="D172" s="185" t="s">
        <v>554</v>
      </c>
      <c r="E172" s="101" t="str">
        <f t="shared" si="0"/>
        <v>d1typeseed_repeat
Seed type repeat</v>
      </c>
      <c r="F172" s="102"/>
      <c r="G172" s="102"/>
      <c r="H172" s="102"/>
      <c r="I172" s="102"/>
      <c r="J172" s="102"/>
      <c r="K172" s="102"/>
      <c r="L172" s="102"/>
      <c r="M172" s="100"/>
      <c r="N172" s="102"/>
      <c r="O172" s="102"/>
      <c r="P172" s="102"/>
      <c r="Q172" s="102"/>
      <c r="R172" s="103"/>
      <c r="S172" s="104" t="s">
        <v>555</v>
      </c>
      <c r="T172" s="102"/>
      <c r="U172" s="102"/>
      <c r="V172" s="102"/>
      <c r="W172" s="102"/>
      <c r="X172" s="102"/>
      <c r="Y172" s="102"/>
      <c r="Z172" s="102"/>
      <c r="AA172" s="102"/>
      <c r="AB172" s="22"/>
      <c r="AC172" s="22"/>
      <c r="AD172" s="22"/>
      <c r="AE172" s="22"/>
      <c r="AF172" s="22"/>
      <c r="AG172" s="22"/>
      <c r="AH172" s="22"/>
      <c r="AI172" s="22"/>
      <c r="AJ172" s="22"/>
      <c r="AK172" s="22"/>
      <c r="AL172" s="22"/>
    </row>
    <row r="173" spans="1:38" ht="15.75" customHeight="1">
      <c r="A173" s="105" t="s">
        <v>35</v>
      </c>
      <c r="B173" s="106" t="s">
        <v>556</v>
      </c>
      <c r="C173" s="107" t="s">
        <v>187</v>
      </c>
      <c r="D173" s="108"/>
      <c r="E173" s="43" t="str">
        <f t="shared" si="0"/>
        <v xml:space="preserve">d1typeseed_index
</v>
      </c>
      <c r="F173" s="109"/>
      <c r="G173" s="109"/>
      <c r="H173" s="109"/>
      <c r="I173" s="109"/>
      <c r="J173" s="109"/>
      <c r="K173" s="109"/>
      <c r="L173" s="109"/>
      <c r="M173" s="109"/>
      <c r="N173" s="110"/>
      <c r="O173" s="109"/>
      <c r="P173" s="109"/>
      <c r="Q173" s="109"/>
      <c r="R173" s="106" t="s">
        <v>188</v>
      </c>
      <c r="S173" s="109"/>
      <c r="T173" s="109"/>
      <c r="U173" s="109"/>
      <c r="V173" s="109"/>
      <c r="W173" s="109"/>
      <c r="X173" s="22"/>
      <c r="Y173" s="22"/>
      <c r="Z173" s="111"/>
      <c r="AA173" s="45"/>
      <c r="AB173" s="22"/>
      <c r="AC173" s="22"/>
      <c r="AD173" s="22"/>
      <c r="AE173" s="22"/>
      <c r="AF173" s="22"/>
      <c r="AG173" s="22"/>
      <c r="AH173" s="22"/>
      <c r="AI173" s="22"/>
      <c r="AJ173" s="22"/>
      <c r="AK173" s="22"/>
      <c r="AL173" s="22"/>
    </row>
    <row r="174" spans="1:38" ht="15.75" customHeight="1">
      <c r="A174" s="112" t="s">
        <v>35</v>
      </c>
      <c r="B174" s="106" t="s">
        <v>557</v>
      </c>
      <c r="C174" s="107" t="s">
        <v>190</v>
      </c>
      <c r="D174" s="108"/>
      <c r="E174" s="193" t="str">
        <f t="shared" si="0"/>
        <v xml:space="preserve">d1typeseed_id
</v>
      </c>
      <c r="F174" s="113"/>
      <c r="G174" s="113"/>
      <c r="H174" s="113"/>
      <c r="I174" s="113"/>
      <c r="J174" s="113"/>
      <c r="K174" s="113"/>
      <c r="L174" s="113"/>
      <c r="M174" s="113"/>
      <c r="N174" s="114"/>
      <c r="O174" s="113"/>
      <c r="P174" s="113"/>
      <c r="Q174" s="113"/>
      <c r="R174" s="110" t="s">
        <v>558</v>
      </c>
      <c r="S174" s="113"/>
      <c r="T174" s="113"/>
      <c r="U174" s="113"/>
      <c r="V174" s="113"/>
      <c r="W174" s="113"/>
      <c r="X174" s="22"/>
      <c r="Y174" s="22"/>
      <c r="Z174" s="22"/>
      <c r="AA174" s="45"/>
      <c r="AB174" s="22"/>
      <c r="AC174" s="22"/>
      <c r="AD174" s="22"/>
      <c r="AE174" s="22"/>
      <c r="AF174" s="22"/>
      <c r="AG174" s="22"/>
      <c r="AH174" s="22"/>
      <c r="AI174" s="22"/>
      <c r="AJ174" s="22"/>
      <c r="AK174" s="22"/>
      <c r="AL174" s="22"/>
    </row>
    <row r="175" spans="1:38" ht="15.75" customHeight="1">
      <c r="A175" s="112" t="s">
        <v>35</v>
      </c>
      <c r="B175" s="106" t="s">
        <v>559</v>
      </c>
      <c r="C175" s="115" t="s">
        <v>560</v>
      </c>
      <c r="D175" s="108"/>
      <c r="E175" s="193" t="str">
        <f t="shared" si="0"/>
        <v xml:space="preserve">d1typeseed_name
</v>
      </c>
      <c r="F175" s="113"/>
      <c r="G175" s="113"/>
      <c r="H175" s="113"/>
      <c r="I175" s="113"/>
      <c r="J175" s="113"/>
      <c r="K175" s="113"/>
      <c r="L175" s="113"/>
      <c r="M175" s="113"/>
      <c r="N175" s="110"/>
      <c r="O175" s="113"/>
      <c r="P175" s="113"/>
      <c r="Q175" s="113"/>
      <c r="R175" s="110" t="s">
        <v>561</v>
      </c>
      <c r="S175" s="113"/>
      <c r="T175" s="113"/>
      <c r="U175" s="113"/>
      <c r="V175" s="113"/>
      <c r="W175" s="113"/>
      <c r="X175" s="22"/>
      <c r="Y175" s="22"/>
      <c r="Z175" s="22"/>
      <c r="AA175" s="45"/>
      <c r="AB175" s="22"/>
      <c r="AC175" s="22"/>
      <c r="AD175" s="22"/>
      <c r="AE175" s="22"/>
      <c r="AF175" s="22"/>
      <c r="AG175" s="22"/>
      <c r="AH175" s="22"/>
      <c r="AI175" s="22"/>
      <c r="AJ175" s="22"/>
      <c r="AK175" s="22"/>
      <c r="AL175" s="22"/>
    </row>
    <row r="176" spans="1:38" ht="15.75" customHeight="1">
      <c r="A176" s="194" t="s">
        <v>218</v>
      </c>
      <c r="B176" s="195" t="s">
        <v>562</v>
      </c>
      <c r="C176" s="196"/>
      <c r="D176" s="197"/>
      <c r="E176" s="198"/>
      <c r="F176" s="194"/>
      <c r="G176" s="194"/>
      <c r="H176" s="194"/>
      <c r="I176" s="194"/>
      <c r="J176" s="194"/>
      <c r="K176" s="194"/>
      <c r="L176" s="194"/>
      <c r="M176" s="91" t="s">
        <v>563</v>
      </c>
      <c r="N176" s="194"/>
      <c r="O176" s="194"/>
      <c r="P176" s="194"/>
      <c r="Q176" s="194"/>
      <c r="R176" s="194"/>
      <c r="S176" s="194"/>
      <c r="T176" s="194"/>
      <c r="U176" s="194"/>
      <c r="V176" s="194"/>
      <c r="W176" s="194"/>
      <c r="X176" s="194"/>
      <c r="Y176" s="194"/>
      <c r="Z176" s="194"/>
      <c r="AA176" s="186"/>
      <c r="AB176" s="22"/>
      <c r="AC176" s="22"/>
      <c r="AD176" s="22"/>
      <c r="AE176" s="22"/>
      <c r="AF176" s="22"/>
      <c r="AG176" s="22"/>
      <c r="AH176" s="22"/>
      <c r="AI176" s="22"/>
      <c r="AJ176" s="22"/>
      <c r="AK176" s="22"/>
      <c r="AL176" s="22"/>
    </row>
    <row r="177" spans="1:38" ht="15.75" customHeight="1">
      <c r="A177" s="186" t="s">
        <v>23</v>
      </c>
      <c r="B177" s="187" t="s">
        <v>564</v>
      </c>
      <c r="C177" s="156" t="s">
        <v>565</v>
      </c>
      <c r="D177" s="157" t="s">
        <v>566</v>
      </c>
      <c r="E177" s="157" t="str">
        <f t="shared" ref="E177:E252" si="1">B177&amp;"
"&amp;D177</f>
        <v>d1type_seed_note
&lt;p&gt;&lt;span style="color:blue"&gt;  তথ্য সংগ্রহকারী: "এখন, আমি আপনাকে &lt;b&gt; ${d1typeseed_name} &lt;/b&gt; সম্পর্কে প্রশ্ন জিজ্ঞাসা করব।" &lt;/span&gt;</v>
      </c>
      <c r="F177" s="186"/>
      <c r="G177" s="186"/>
      <c r="H177" s="186"/>
      <c r="I177" s="186"/>
      <c r="J177" s="186"/>
      <c r="K177" s="186"/>
      <c r="L177" s="186"/>
      <c r="M177" s="186"/>
      <c r="N177" s="186"/>
      <c r="O177" s="186"/>
      <c r="P177" s="186"/>
      <c r="Q177" s="186"/>
      <c r="R177" s="186"/>
      <c r="S177" s="186"/>
      <c r="T177" s="186"/>
      <c r="U177" s="186"/>
      <c r="V177" s="186"/>
      <c r="W177" s="186"/>
      <c r="X177" s="186"/>
      <c r="Y177" s="186"/>
      <c r="Z177" s="186"/>
      <c r="AA177" s="186"/>
      <c r="AB177" s="22"/>
      <c r="AC177" s="22"/>
      <c r="AD177" s="22"/>
      <c r="AE177" s="22"/>
      <c r="AF177" s="22"/>
      <c r="AG177" s="22"/>
      <c r="AH177" s="22"/>
      <c r="AI177" s="22"/>
      <c r="AJ177" s="22"/>
      <c r="AK177" s="22"/>
      <c r="AL177" s="22"/>
    </row>
    <row r="178" spans="1:38" ht="15.75" customHeight="1">
      <c r="A178" s="7" t="s">
        <v>148</v>
      </c>
      <c r="B178" s="7" t="s">
        <v>567</v>
      </c>
      <c r="C178" s="173" t="s">
        <v>568</v>
      </c>
      <c r="D178" s="10" t="s">
        <v>569</v>
      </c>
      <c r="E178" s="157" t="str">
        <f t="shared" si="1"/>
        <v>d1all_variety
আপনি ${d1typeseed_name}  যে যে জাতের বীজ কিনতে চেয়েছিলেন তার সব কয়টি ধরনের বীজ আপনি পেয়েছিলেন কি?</v>
      </c>
      <c r="F178" s="8"/>
      <c r="G178" s="8"/>
      <c r="H178" s="7"/>
      <c r="I178" s="7"/>
      <c r="J178" s="7"/>
      <c r="K178" s="8"/>
      <c r="L178" s="8"/>
      <c r="M178" s="7"/>
      <c r="N178" s="7"/>
      <c r="O178" s="38" t="s">
        <v>54</v>
      </c>
      <c r="P178" s="7"/>
      <c r="Q178" s="7"/>
      <c r="R178" s="7"/>
      <c r="S178" s="7"/>
      <c r="T178" s="7"/>
      <c r="U178" s="7"/>
      <c r="V178" s="7"/>
      <c r="W178" s="7"/>
      <c r="X178" s="7"/>
      <c r="Y178" s="7"/>
      <c r="Z178" s="7"/>
      <c r="AA178" s="7"/>
      <c r="AB178" s="11"/>
      <c r="AC178" s="11"/>
      <c r="AD178" s="11"/>
      <c r="AE178" s="11"/>
      <c r="AF178" s="11"/>
      <c r="AG178" s="11"/>
      <c r="AH178" s="11"/>
      <c r="AI178" s="11"/>
      <c r="AJ178" s="11"/>
      <c r="AK178" s="11"/>
      <c r="AL178" s="11"/>
    </row>
    <row r="179" spans="1:38" ht="15.75" customHeight="1">
      <c r="A179" s="7" t="s">
        <v>570</v>
      </c>
      <c r="B179" s="7" t="s">
        <v>571</v>
      </c>
      <c r="C179" s="173" t="s">
        <v>572</v>
      </c>
      <c r="D179" s="10" t="s">
        <v>573</v>
      </c>
      <c r="E179" s="157" t="str">
        <f t="shared" si="1"/>
        <v xml:space="preserve">d1seed_quality
${d1typeseed_name} আপনার ক্রয় করা বীজের মান কেমন ছিল? </v>
      </c>
      <c r="F179" s="8"/>
      <c r="G179" s="8"/>
      <c r="H179" s="7"/>
      <c r="I179" s="7"/>
      <c r="J179" s="7"/>
      <c r="K179" s="8"/>
      <c r="L179" s="8"/>
      <c r="M179" s="7"/>
      <c r="N179" s="7"/>
      <c r="O179" s="38" t="s">
        <v>54</v>
      </c>
      <c r="P179" s="7"/>
      <c r="Q179" s="7"/>
      <c r="R179" s="7"/>
      <c r="S179" s="7"/>
      <c r="T179" s="7"/>
      <c r="U179" s="7"/>
      <c r="V179" s="7"/>
      <c r="W179" s="7"/>
      <c r="X179" s="7"/>
      <c r="Y179" s="7"/>
      <c r="Z179" s="7"/>
      <c r="AA179" s="7"/>
      <c r="AB179" s="11"/>
      <c r="AC179" s="11"/>
      <c r="AD179" s="11"/>
      <c r="AE179" s="11"/>
      <c r="AF179" s="11"/>
      <c r="AG179" s="11"/>
      <c r="AH179" s="11"/>
      <c r="AI179" s="11"/>
      <c r="AJ179" s="11"/>
      <c r="AK179" s="11"/>
      <c r="AL179" s="11"/>
    </row>
    <row r="180" spans="1:38" ht="15.75" customHeight="1">
      <c r="A180" s="194" t="s">
        <v>390</v>
      </c>
      <c r="B180" s="195" t="s">
        <v>562</v>
      </c>
      <c r="C180" s="196"/>
      <c r="D180" s="197"/>
      <c r="E180" s="157" t="str">
        <f t="shared" si="1"/>
        <v xml:space="preserve">d1exclude_oth
</v>
      </c>
      <c r="F180" s="194"/>
      <c r="G180" s="194"/>
      <c r="H180" s="194"/>
      <c r="I180" s="194"/>
      <c r="J180" s="194"/>
      <c r="K180" s="194"/>
      <c r="L180" s="194"/>
      <c r="M180" s="91"/>
      <c r="N180" s="194"/>
      <c r="O180" s="194"/>
      <c r="P180" s="194"/>
      <c r="Q180" s="194"/>
      <c r="R180" s="194"/>
      <c r="S180" s="194"/>
      <c r="T180" s="194"/>
      <c r="U180" s="194"/>
      <c r="V180" s="194"/>
      <c r="W180" s="194"/>
      <c r="X180" s="194"/>
      <c r="Y180" s="194"/>
      <c r="Z180" s="194"/>
      <c r="AA180" s="186"/>
      <c r="AB180" s="22"/>
      <c r="AC180" s="22"/>
      <c r="AD180" s="22"/>
      <c r="AE180" s="22"/>
      <c r="AF180" s="22"/>
      <c r="AG180" s="22"/>
      <c r="AH180" s="22"/>
      <c r="AI180" s="22"/>
      <c r="AJ180" s="22"/>
      <c r="AK180" s="22"/>
      <c r="AL180" s="22"/>
    </row>
    <row r="181" spans="1:38" ht="15.75" customHeight="1">
      <c r="A181" s="99" t="s">
        <v>178</v>
      </c>
      <c r="B181" s="100" t="s">
        <v>553</v>
      </c>
      <c r="C181" s="185" t="s">
        <v>554</v>
      </c>
      <c r="D181" s="185" t="s">
        <v>554</v>
      </c>
      <c r="E181" s="157" t="str">
        <f t="shared" si="1"/>
        <v>d1typeseed_repeat
Seed type repeat</v>
      </c>
      <c r="F181" s="102"/>
      <c r="G181" s="102"/>
      <c r="H181" s="102"/>
      <c r="I181" s="102"/>
      <c r="J181" s="102"/>
      <c r="K181" s="102"/>
      <c r="L181" s="102"/>
      <c r="M181" s="100"/>
      <c r="N181" s="102"/>
      <c r="O181" s="102"/>
      <c r="P181" s="102"/>
      <c r="Q181" s="102"/>
      <c r="R181" s="103"/>
      <c r="S181" s="104"/>
      <c r="T181" s="102"/>
      <c r="U181" s="102"/>
      <c r="V181" s="102"/>
      <c r="W181" s="102"/>
      <c r="X181" s="102"/>
      <c r="Y181" s="102"/>
      <c r="Z181" s="102"/>
      <c r="AA181" s="102"/>
      <c r="AB181" s="22"/>
      <c r="AC181" s="22"/>
      <c r="AD181" s="22"/>
      <c r="AE181" s="22"/>
      <c r="AF181" s="22"/>
      <c r="AG181" s="22"/>
      <c r="AH181" s="22"/>
      <c r="AI181" s="22"/>
      <c r="AJ181" s="22"/>
      <c r="AK181" s="22"/>
      <c r="AL181" s="22"/>
    </row>
    <row r="182" spans="1:38" ht="15.75" customHeight="1">
      <c r="A182" s="7" t="s">
        <v>148</v>
      </c>
      <c r="B182" s="7" t="s">
        <v>574</v>
      </c>
      <c r="C182" s="173" t="s">
        <v>575</v>
      </c>
      <c r="D182" s="192" t="s">
        <v>576</v>
      </c>
      <c r="E182" s="157" t="str">
        <f t="shared" si="1"/>
        <v>d1reg_dealer
আপনি কি কোন রেজিস্টার্ড বা নিবন্ধিত ডিলার/ ব্যবসায়ী?</v>
      </c>
      <c r="F182" s="8"/>
      <c r="G182" s="8" t="s">
        <v>577</v>
      </c>
      <c r="H182" s="7"/>
      <c r="I182" s="7"/>
      <c r="J182" s="7"/>
      <c r="K182" s="8"/>
      <c r="L182" s="8"/>
      <c r="M182" s="7"/>
      <c r="N182" s="7"/>
      <c r="O182" s="38" t="s">
        <v>54</v>
      </c>
      <c r="P182" s="7"/>
      <c r="Q182" s="7"/>
      <c r="R182" s="7"/>
      <c r="S182" s="7"/>
      <c r="T182" s="7"/>
      <c r="U182" s="7"/>
      <c r="V182" s="7"/>
      <c r="W182" s="7"/>
      <c r="X182" s="7"/>
      <c r="Y182" s="7"/>
      <c r="Z182" s="7"/>
      <c r="AA182" s="7"/>
      <c r="AB182" s="11"/>
      <c r="AC182" s="11"/>
      <c r="AD182" s="11"/>
      <c r="AE182" s="11"/>
      <c r="AF182" s="11"/>
      <c r="AG182" s="11"/>
      <c r="AH182" s="11"/>
      <c r="AI182" s="11"/>
      <c r="AJ182" s="11"/>
      <c r="AK182" s="11"/>
      <c r="AL182" s="11"/>
    </row>
    <row r="183" spans="1:38" ht="15.75" customHeight="1">
      <c r="A183" s="7" t="s">
        <v>578</v>
      </c>
      <c r="B183" s="7" t="s">
        <v>579</v>
      </c>
      <c r="C183" s="173" t="s">
        <v>580</v>
      </c>
      <c r="D183" s="10" t="s">
        <v>581</v>
      </c>
      <c r="E183" s="157" t="str">
        <f t="shared" si="1"/>
        <v>d1reg_point
আপনি কোথা থেকে নিবন্ধন করেছেন?</v>
      </c>
      <c r="F183" s="8"/>
      <c r="G183" s="8"/>
      <c r="H183" s="7"/>
      <c r="I183" s="7"/>
      <c r="J183" s="7"/>
      <c r="K183" s="8"/>
      <c r="L183" s="8"/>
      <c r="M183" s="91" t="s">
        <v>582</v>
      </c>
      <c r="N183" s="7"/>
      <c r="O183" s="38" t="s">
        <v>54</v>
      </c>
      <c r="P183" s="7"/>
      <c r="Q183" s="7"/>
      <c r="R183" s="7"/>
      <c r="S183" s="7"/>
      <c r="T183" s="7"/>
      <c r="U183" s="7"/>
      <c r="V183" s="7"/>
      <c r="W183" s="7"/>
      <c r="X183" s="7"/>
      <c r="Y183" s="7"/>
      <c r="Z183" s="7"/>
      <c r="AA183" s="7"/>
      <c r="AB183" s="11"/>
      <c r="AC183" s="11"/>
      <c r="AD183" s="11"/>
      <c r="AE183" s="11"/>
      <c r="AF183" s="11"/>
      <c r="AG183" s="11"/>
      <c r="AH183" s="11"/>
      <c r="AI183" s="11"/>
      <c r="AJ183" s="11"/>
      <c r="AK183" s="11"/>
      <c r="AL183" s="11"/>
    </row>
    <row r="184" spans="1:38" ht="15.75" customHeight="1">
      <c r="A184" s="175" t="s">
        <v>144</v>
      </c>
      <c r="B184" s="176" t="s">
        <v>583</v>
      </c>
      <c r="C184" s="177" t="s">
        <v>167</v>
      </c>
      <c r="D184" s="95" t="s">
        <v>168</v>
      </c>
      <c r="E184" s="191" t="str">
        <f t="shared" si="1"/>
        <v>d1reg_point_oth
অন্যান্য(উল্লেখ করুন)</v>
      </c>
      <c r="F184" s="178"/>
      <c r="G184" s="179"/>
      <c r="H184" s="180"/>
      <c r="I184" s="179"/>
      <c r="J184" s="180"/>
      <c r="K184" s="180"/>
      <c r="L184" s="180"/>
      <c r="M184" s="91" t="s">
        <v>584</v>
      </c>
      <c r="N184" s="180"/>
      <c r="O184" s="38" t="s">
        <v>54</v>
      </c>
      <c r="P184" s="180"/>
      <c r="Q184" s="180"/>
      <c r="R184" s="180"/>
      <c r="S184" s="180"/>
      <c r="T184" s="180"/>
      <c r="U184" s="180"/>
      <c r="V184" s="180"/>
      <c r="W184" s="180"/>
      <c r="X184" s="180"/>
      <c r="Y184" s="180"/>
      <c r="Z184" s="180"/>
      <c r="AA184" s="180"/>
      <c r="AB184" s="22"/>
      <c r="AC184" s="22"/>
      <c r="AD184" s="22"/>
      <c r="AE184" s="22"/>
      <c r="AF184" s="22"/>
      <c r="AG184" s="22"/>
      <c r="AH184" s="22"/>
      <c r="AI184" s="22"/>
      <c r="AJ184" s="22"/>
      <c r="AK184" s="22"/>
      <c r="AL184" s="22"/>
    </row>
    <row r="185" spans="1:38" ht="15.75" customHeight="1">
      <c r="A185" s="7" t="s">
        <v>390</v>
      </c>
      <c r="B185" s="7" t="s">
        <v>412</v>
      </c>
      <c r="C185" s="9" t="s">
        <v>413</v>
      </c>
      <c r="D185" s="10" t="s">
        <v>585</v>
      </c>
      <c r="E185" s="157" t="str">
        <f t="shared" si="1"/>
        <v xml:space="preserve">mod_d
</v>
      </c>
      <c r="F185" s="8"/>
      <c r="G185" s="8"/>
      <c r="H185" s="7"/>
      <c r="I185" s="7"/>
      <c r="J185" s="7"/>
      <c r="K185" s="8"/>
      <c r="L185" s="8"/>
      <c r="M185" s="7"/>
      <c r="N185" s="7"/>
      <c r="O185" s="7"/>
      <c r="P185" s="7"/>
      <c r="Q185" s="7"/>
      <c r="R185" s="7"/>
      <c r="S185" s="7"/>
      <c r="T185" s="7"/>
      <c r="U185" s="7"/>
      <c r="V185" s="7"/>
      <c r="W185" s="7"/>
      <c r="X185" s="7"/>
      <c r="Y185" s="7"/>
      <c r="Z185" s="7"/>
      <c r="AA185" s="7"/>
      <c r="AB185" s="11"/>
      <c r="AC185" s="11"/>
      <c r="AD185" s="11"/>
      <c r="AE185" s="11"/>
      <c r="AF185" s="11"/>
      <c r="AG185" s="11"/>
      <c r="AH185" s="11"/>
      <c r="AI185" s="11"/>
      <c r="AJ185" s="11"/>
      <c r="AK185" s="11"/>
      <c r="AL185" s="11"/>
    </row>
    <row r="186" spans="1:38" ht="15.75" customHeight="1">
      <c r="A186" s="7" t="s">
        <v>148</v>
      </c>
      <c r="B186" s="121" t="s">
        <v>586</v>
      </c>
      <c r="C186" s="169" t="s">
        <v>587</v>
      </c>
      <c r="D186" s="170" t="s">
        <v>588</v>
      </c>
      <c r="E186" s="101" t="str">
        <f t="shared" si="1"/>
        <v>e_pres_fish
এই গ্রামে কি কোন মাছ খামারকারী/নার্সারি/হ্যাচারি মালিক আছে?</v>
      </c>
      <c r="F186" s="86"/>
      <c r="G186" s="12"/>
      <c r="H186" s="121"/>
      <c r="I186" s="121"/>
      <c r="J186" s="121"/>
      <c r="K186" s="12"/>
      <c r="L186" s="12"/>
      <c r="M186" s="121"/>
      <c r="N186" s="121"/>
      <c r="O186" s="121" t="s">
        <v>54</v>
      </c>
      <c r="P186" s="121"/>
      <c r="Q186" s="121"/>
      <c r="R186" s="171"/>
      <c r="S186" s="15"/>
      <c r="T186" s="121"/>
      <c r="U186" s="121"/>
      <c r="V186" s="121"/>
      <c r="W186" s="121"/>
      <c r="X186" s="121"/>
      <c r="Y186" s="121"/>
      <c r="Z186" s="121"/>
      <c r="AA186" s="121"/>
      <c r="AB186" s="11"/>
      <c r="AC186" s="11"/>
      <c r="AD186" s="11"/>
      <c r="AE186" s="11"/>
      <c r="AF186" s="11"/>
      <c r="AG186" s="11"/>
      <c r="AH186" s="11"/>
      <c r="AI186" s="11"/>
      <c r="AJ186" s="11"/>
      <c r="AK186" s="11"/>
      <c r="AL186" s="11"/>
    </row>
    <row r="187" spans="1:38" ht="15.75" customHeight="1">
      <c r="A187" s="7" t="s">
        <v>218</v>
      </c>
      <c r="B187" s="7" t="s">
        <v>589</v>
      </c>
      <c r="C187" s="9" t="s">
        <v>590</v>
      </c>
      <c r="D187" s="10" t="s">
        <v>591</v>
      </c>
      <c r="E187" s="157" t="str">
        <f t="shared" si="1"/>
        <v>mod_e
Module E. মাছ ব্যবসায়ী ) (মৎস্য খামারকারী, ও রেনু ও পোনা বিক্রেতা</v>
      </c>
      <c r="F187" s="8"/>
      <c r="G187" s="8"/>
      <c r="H187" s="7"/>
      <c r="I187" s="7"/>
      <c r="J187" s="7"/>
      <c r="K187" s="8"/>
      <c r="L187" s="8"/>
      <c r="M187" s="7" t="s">
        <v>592</v>
      </c>
      <c r="N187" s="7"/>
      <c r="O187" s="7"/>
      <c r="P187" s="7"/>
      <c r="Q187" s="7"/>
      <c r="R187" s="7"/>
      <c r="S187" s="7"/>
      <c r="T187" s="7"/>
      <c r="U187" s="7"/>
      <c r="V187" s="7"/>
      <c r="W187" s="7"/>
      <c r="X187" s="7"/>
      <c r="Y187" s="7"/>
      <c r="Z187" s="7"/>
      <c r="AA187" s="7"/>
      <c r="AB187" s="11"/>
      <c r="AC187" s="11"/>
      <c r="AD187" s="11"/>
      <c r="AE187" s="11"/>
      <c r="AF187" s="11"/>
      <c r="AG187" s="11"/>
      <c r="AH187" s="11"/>
      <c r="AI187" s="11"/>
      <c r="AJ187" s="11"/>
      <c r="AK187" s="11"/>
      <c r="AL187" s="11"/>
    </row>
    <row r="188" spans="1:38" ht="15.75" customHeight="1">
      <c r="A188" s="7" t="s">
        <v>23</v>
      </c>
      <c r="B188" s="7" t="s">
        <v>593</v>
      </c>
      <c r="C188" s="9" t="s">
        <v>594</v>
      </c>
      <c r="D188" s="199" t="s">
        <v>595</v>
      </c>
      <c r="E188" s="157" t="str">
        <f t="shared" si="1"/>
        <v>note_e
(রিকল সময়কাল: গত 12 মাস, ফেব্রুয়ারি 2023 থেকে জানুয়ারী 2024 পর্যন্ত) &lt;br&gt; নোট: আমরা গ্রামের সবচেয়ে বড় বাজারের সবচেয়ে নামকরা মাছ ব্যবসায়ীর মৎস্য খামারকারী, ও রেনু ও পোনা বিক্রেতা) সাক্ষাৎকার নেব।</v>
      </c>
      <c r="F188" s="8"/>
      <c r="G188" s="8"/>
      <c r="H188" s="7"/>
      <c r="I188" s="7"/>
      <c r="J188" s="7"/>
      <c r="K188" s="8"/>
      <c r="L188" s="8"/>
      <c r="M188" s="7"/>
      <c r="N188" s="7"/>
      <c r="O188" s="7"/>
      <c r="P188" s="7"/>
      <c r="Q188" s="7"/>
      <c r="R188" s="7"/>
      <c r="S188" s="7"/>
      <c r="T188" s="7"/>
      <c r="U188" s="7"/>
      <c r="V188" s="7"/>
      <c r="W188" s="7"/>
      <c r="X188" s="7"/>
      <c r="Y188" s="7"/>
      <c r="Z188" s="7"/>
      <c r="AA188" s="7"/>
      <c r="AB188" s="11"/>
      <c r="AC188" s="11"/>
      <c r="AD188" s="11"/>
      <c r="AE188" s="11"/>
      <c r="AF188" s="11"/>
      <c r="AG188" s="11"/>
      <c r="AH188" s="11"/>
      <c r="AI188" s="11"/>
      <c r="AJ188" s="11"/>
      <c r="AK188" s="11"/>
      <c r="AL188" s="11"/>
    </row>
    <row r="189" spans="1:38" ht="15.75" customHeight="1">
      <c r="A189" s="7" t="s">
        <v>144</v>
      </c>
      <c r="B189" s="7" t="s">
        <v>596</v>
      </c>
      <c r="C189" s="172" t="s">
        <v>597</v>
      </c>
      <c r="D189" s="10" t="s">
        <v>598</v>
      </c>
      <c r="E189" s="157" t="str">
        <f t="shared" si="1"/>
        <v>e_fish_dealer
মাছের ডিলার/ব্যবসায়ীর নাম</v>
      </c>
      <c r="F189" s="8"/>
      <c r="G189" s="8"/>
      <c r="H189" s="7"/>
      <c r="I189" s="7"/>
      <c r="J189" s="7"/>
      <c r="K189" s="8"/>
      <c r="L189" s="8"/>
      <c r="M189" s="7"/>
      <c r="N189" s="7"/>
      <c r="O189" s="38" t="s">
        <v>54</v>
      </c>
      <c r="P189" s="7"/>
      <c r="Q189" s="7"/>
      <c r="R189" s="7"/>
      <c r="S189" s="7"/>
      <c r="T189" s="7"/>
      <c r="U189" s="7"/>
      <c r="V189" s="7"/>
      <c r="W189" s="7"/>
      <c r="X189" s="7"/>
      <c r="Y189" s="7"/>
      <c r="Z189" s="7"/>
      <c r="AA189" s="7"/>
      <c r="AB189" s="11"/>
      <c r="AC189" s="11"/>
      <c r="AD189" s="11"/>
      <c r="AE189" s="11"/>
      <c r="AF189" s="11"/>
      <c r="AG189" s="11"/>
      <c r="AH189" s="11"/>
      <c r="AI189" s="11"/>
      <c r="AJ189" s="11"/>
      <c r="AK189" s="11"/>
      <c r="AL189" s="11"/>
    </row>
    <row r="190" spans="1:38" ht="15.75" customHeight="1">
      <c r="A190" s="7" t="s">
        <v>599</v>
      </c>
      <c r="B190" s="7" t="s">
        <v>600</v>
      </c>
      <c r="C190" s="172" t="s">
        <v>601</v>
      </c>
      <c r="D190" s="120" t="s">
        <v>602</v>
      </c>
      <c r="E190" s="157" t="str">
        <f t="shared" si="1"/>
        <v>e_fish_dealer_type
উত্তরদাতার ব্যবসার ধরণ [একাধিক হতে পারে]</v>
      </c>
      <c r="F190" s="8"/>
      <c r="G190" s="8"/>
      <c r="H190" s="7"/>
      <c r="I190" s="7"/>
      <c r="J190" s="7"/>
      <c r="K190" s="8"/>
      <c r="L190" s="8"/>
      <c r="M190" s="7"/>
      <c r="N190" s="7"/>
      <c r="O190" s="38" t="s">
        <v>54</v>
      </c>
      <c r="P190" s="7"/>
      <c r="Q190" s="7"/>
      <c r="R190" s="7"/>
      <c r="S190" s="7"/>
      <c r="T190" s="7"/>
      <c r="U190" s="7"/>
      <c r="V190" s="7"/>
      <c r="W190" s="7"/>
      <c r="X190" s="7"/>
      <c r="Y190" s="7"/>
      <c r="Z190" s="7"/>
      <c r="AA190" s="7"/>
      <c r="AB190" s="11"/>
      <c r="AC190" s="11"/>
      <c r="AD190" s="11"/>
      <c r="AE190" s="11"/>
      <c r="AF190" s="11"/>
      <c r="AG190" s="11"/>
      <c r="AH190" s="11"/>
      <c r="AI190" s="11"/>
      <c r="AJ190" s="11"/>
      <c r="AK190" s="11"/>
      <c r="AL190" s="11"/>
    </row>
    <row r="191" spans="1:38" ht="15.75" customHeight="1">
      <c r="A191" s="7" t="s">
        <v>144</v>
      </c>
      <c r="B191" s="7" t="s">
        <v>603</v>
      </c>
      <c r="C191" s="173" t="s">
        <v>604</v>
      </c>
      <c r="D191" s="120" t="s">
        <v>605</v>
      </c>
      <c r="E191" s="157" t="str">
        <f t="shared" si="1"/>
        <v>e_dealer_loc
এই মাছের ডিলার/ব্যবসায়ীর ব্যবসা প্রতিষ্ঠানের লোকেশন?</v>
      </c>
      <c r="F191" s="8"/>
      <c r="G191" s="8"/>
      <c r="H191" s="7"/>
      <c r="I191" s="7"/>
      <c r="J191" s="7"/>
      <c r="K191" s="8"/>
      <c r="L191" s="8"/>
      <c r="M191" s="7"/>
      <c r="N191" s="7"/>
      <c r="O191" s="38" t="s">
        <v>54</v>
      </c>
      <c r="P191" s="7"/>
      <c r="Q191" s="7"/>
      <c r="R191" s="7"/>
      <c r="S191" s="7"/>
      <c r="T191" s="7"/>
      <c r="U191" s="7"/>
      <c r="V191" s="7"/>
      <c r="W191" s="7"/>
      <c r="X191" s="7"/>
      <c r="Y191" s="7"/>
      <c r="Z191" s="7"/>
      <c r="AA191" s="7"/>
      <c r="AB191" s="11"/>
      <c r="AC191" s="11"/>
      <c r="AD191" s="11"/>
      <c r="AE191" s="11"/>
      <c r="AF191" s="11"/>
      <c r="AG191" s="11"/>
      <c r="AH191" s="11"/>
      <c r="AI191" s="11"/>
      <c r="AJ191" s="11"/>
      <c r="AK191" s="11"/>
      <c r="AL191" s="11"/>
    </row>
    <row r="192" spans="1:38" ht="25.5" customHeight="1">
      <c r="A192" s="122" t="s">
        <v>211</v>
      </c>
      <c r="B192" s="123" t="s">
        <v>606</v>
      </c>
      <c r="C192" s="124" t="s">
        <v>607</v>
      </c>
      <c r="D192" s="200" t="s">
        <v>608</v>
      </c>
      <c r="E192" s="157" t="str">
        <f t="shared" si="1"/>
        <v>e_dealer_gps
 জিপিএস কো-অরডিনেশন আপলোড করুন</v>
      </c>
      <c r="F192" s="125" t="s">
        <v>428</v>
      </c>
      <c r="G192" s="126" t="s">
        <v>429</v>
      </c>
      <c r="H192" s="127"/>
      <c r="I192" s="127"/>
      <c r="J192" s="127"/>
      <c r="K192" s="127"/>
      <c r="L192" s="127"/>
      <c r="M192" s="127"/>
      <c r="N192" s="127"/>
      <c r="O192" s="38" t="s">
        <v>54</v>
      </c>
      <c r="P192" s="127"/>
      <c r="Q192" s="127"/>
      <c r="R192" s="127"/>
      <c r="S192" s="127"/>
      <c r="T192" s="127"/>
      <c r="U192" s="127"/>
      <c r="V192" s="127"/>
      <c r="W192" s="127"/>
      <c r="X192" s="127"/>
      <c r="Y192" s="127"/>
      <c r="Z192" s="127"/>
      <c r="AA192" s="127"/>
      <c r="AB192" s="22"/>
      <c r="AC192" s="22"/>
      <c r="AD192" s="22"/>
      <c r="AE192" s="22"/>
      <c r="AF192" s="22"/>
      <c r="AG192" s="22"/>
      <c r="AH192" s="22"/>
      <c r="AI192" s="22"/>
      <c r="AJ192" s="22"/>
      <c r="AK192" s="22"/>
      <c r="AL192" s="22"/>
    </row>
    <row r="193" spans="1:38" ht="15.75" customHeight="1">
      <c r="A193" s="7" t="s">
        <v>323</v>
      </c>
      <c r="B193" s="7" t="s">
        <v>609</v>
      </c>
      <c r="C193" s="173" t="s">
        <v>610</v>
      </c>
      <c r="D193" s="10" t="s">
        <v>611</v>
      </c>
      <c r="E193" s="157" t="str">
        <f t="shared" si="1"/>
        <v>e_dealer_distance
জরীপ গ্রাম থেকে মাছের ডিলার/ব্যবসায়ীর ব্যবসা প্রতিষ্ঠানের দুরত্ব? (meter)</v>
      </c>
      <c r="F193" s="8"/>
      <c r="G193" s="8"/>
      <c r="H193" s="7"/>
      <c r="I193" s="7"/>
      <c r="J193" s="7"/>
      <c r="K193" s="8"/>
      <c r="L193" s="8"/>
      <c r="M193" s="7"/>
      <c r="N193" s="7"/>
      <c r="O193" s="38" t="s">
        <v>54</v>
      </c>
      <c r="P193" s="7"/>
      <c r="Q193" s="7"/>
      <c r="R193" s="7"/>
      <c r="S193" s="7"/>
      <c r="T193" s="7"/>
      <c r="U193" s="7"/>
      <c r="V193" s="7"/>
      <c r="W193" s="7"/>
      <c r="X193" s="7"/>
      <c r="Y193" s="7"/>
      <c r="Z193" s="7"/>
      <c r="AA193" s="7"/>
      <c r="AB193" s="11"/>
      <c r="AC193" s="11"/>
      <c r="AD193" s="11"/>
      <c r="AE193" s="11"/>
      <c r="AF193" s="11"/>
      <c r="AG193" s="11"/>
      <c r="AH193" s="11"/>
      <c r="AI193" s="11"/>
      <c r="AJ193" s="11"/>
      <c r="AK193" s="11"/>
      <c r="AL193" s="11"/>
    </row>
    <row r="194" spans="1:38" ht="15.75" customHeight="1">
      <c r="A194" s="7" t="s">
        <v>612</v>
      </c>
      <c r="B194" s="7" t="s">
        <v>613</v>
      </c>
      <c r="C194" s="173" t="s">
        <v>435</v>
      </c>
      <c r="D194" s="192" t="s">
        <v>614</v>
      </c>
      <c r="E194" s="157" t="str">
        <f t="shared" si="1"/>
        <v xml:space="preserve">e_fisher_served
আপনি কোন এলাকার মৎস্য খামারিদের  কাছে মাছ বিক্রয় করেন? </v>
      </c>
      <c r="F194" s="8"/>
      <c r="G194" s="8"/>
      <c r="H194" s="7"/>
      <c r="I194" s="7"/>
      <c r="J194" s="7"/>
      <c r="K194" s="8"/>
      <c r="L194" s="8"/>
      <c r="M194" s="7"/>
      <c r="N194" s="7"/>
      <c r="O194" s="38" t="s">
        <v>54</v>
      </c>
      <c r="P194" s="7"/>
      <c r="Q194" s="7"/>
      <c r="R194" s="7"/>
      <c r="S194" s="7"/>
      <c r="T194" s="7"/>
      <c r="U194" s="7"/>
      <c r="V194" s="7"/>
      <c r="W194" s="7"/>
      <c r="X194" s="7"/>
      <c r="Y194" s="7"/>
      <c r="Z194" s="7"/>
      <c r="AA194" s="7"/>
      <c r="AB194" s="11"/>
      <c r="AC194" s="11"/>
      <c r="AD194" s="11"/>
      <c r="AE194" s="11"/>
      <c r="AF194" s="11"/>
      <c r="AG194" s="11"/>
      <c r="AH194" s="11"/>
      <c r="AI194" s="11"/>
      <c r="AJ194" s="11"/>
      <c r="AK194" s="11"/>
      <c r="AL194" s="11"/>
    </row>
    <row r="195" spans="1:38" ht="15.75" customHeight="1">
      <c r="A195" s="7" t="s">
        <v>615</v>
      </c>
      <c r="B195" s="7" t="s">
        <v>616</v>
      </c>
      <c r="C195" s="173" t="s">
        <v>617</v>
      </c>
      <c r="D195" s="181" t="s">
        <v>618</v>
      </c>
      <c r="E195" s="157" t="str">
        <f t="shared" si="1"/>
        <v>e_fish_species
আপনি গত 12 মাসে কোন প্রজাতির মাছ বিক্রি করেছেন?</v>
      </c>
      <c r="F195" s="8"/>
      <c r="G195" s="8"/>
      <c r="H195" s="7"/>
      <c r="I195" s="7"/>
      <c r="J195" s="7"/>
      <c r="K195" s="8"/>
      <c r="L195" s="8"/>
      <c r="M195" s="7"/>
      <c r="N195" s="7"/>
      <c r="O195" s="38" t="s">
        <v>54</v>
      </c>
      <c r="P195" s="7"/>
      <c r="Q195" s="7"/>
      <c r="R195" s="7"/>
      <c r="S195" s="7"/>
      <c r="T195" s="7"/>
      <c r="U195" s="7"/>
      <c r="V195" s="7"/>
      <c r="W195" s="7"/>
      <c r="X195" s="7"/>
      <c r="Y195" s="7"/>
      <c r="Z195" s="7"/>
      <c r="AA195" s="7"/>
      <c r="AB195" s="11"/>
      <c r="AC195" s="11"/>
      <c r="AD195" s="11"/>
      <c r="AE195" s="11"/>
      <c r="AF195" s="11"/>
      <c r="AG195" s="11"/>
      <c r="AH195" s="11"/>
      <c r="AI195" s="11"/>
      <c r="AJ195" s="11"/>
      <c r="AK195" s="11"/>
      <c r="AL195" s="11"/>
    </row>
    <row r="196" spans="1:38" ht="15.75" customHeight="1">
      <c r="A196" s="7" t="s">
        <v>148</v>
      </c>
      <c r="B196" s="7" t="s">
        <v>619</v>
      </c>
      <c r="C196" s="173" t="s">
        <v>620</v>
      </c>
      <c r="D196" s="201" t="s">
        <v>621</v>
      </c>
      <c r="E196" s="157" t="str">
        <f t="shared" si="1"/>
        <v>e_hatchery_rohu
রুই বিক্রি করে এমন কোনো মাছের হ্যাচারি// নার্সারি আছে কি?</v>
      </c>
      <c r="F196" s="8"/>
      <c r="G196" s="8"/>
      <c r="H196" s="7"/>
      <c r="I196" s="7"/>
      <c r="J196" s="7"/>
      <c r="K196" s="8"/>
      <c r="L196" s="8"/>
      <c r="M196" s="7"/>
      <c r="N196" s="7"/>
      <c r="O196" s="38" t="s">
        <v>54</v>
      </c>
      <c r="P196" s="7"/>
      <c r="Q196" s="7"/>
      <c r="R196" s="7"/>
      <c r="S196" s="7"/>
      <c r="T196" s="7"/>
      <c r="U196" s="7"/>
      <c r="V196" s="7"/>
      <c r="W196" s="7"/>
      <c r="X196" s="7"/>
      <c r="Y196" s="7"/>
      <c r="Z196" s="7"/>
      <c r="AA196" s="7"/>
      <c r="AB196" s="11"/>
      <c r="AC196" s="11"/>
      <c r="AD196" s="11"/>
      <c r="AE196" s="11"/>
      <c r="AF196" s="11"/>
      <c r="AG196" s="11"/>
      <c r="AH196" s="11"/>
      <c r="AI196" s="11"/>
      <c r="AJ196" s="11"/>
      <c r="AK196" s="11"/>
      <c r="AL196" s="11"/>
    </row>
    <row r="197" spans="1:38" ht="15.75" customHeight="1">
      <c r="A197" s="7" t="s">
        <v>148</v>
      </c>
      <c r="B197" s="7" t="s">
        <v>622</v>
      </c>
      <c r="C197" s="173" t="s">
        <v>623</v>
      </c>
      <c r="D197" s="202" t="s">
        <v>624</v>
      </c>
      <c r="E197" s="157" t="str">
        <f t="shared" si="1"/>
        <v>e_hatchery_gthree
G3 রুই বিক্রি করে এমন কোনো মাছের হ্যাচারি/ নার্সারি আছে কি?</v>
      </c>
      <c r="F197" s="8"/>
      <c r="G197" s="8"/>
      <c r="H197" s="7"/>
      <c r="I197" s="7"/>
      <c r="J197" s="7"/>
      <c r="K197" s="8"/>
      <c r="L197" s="8"/>
      <c r="M197" s="91" t="s">
        <v>625</v>
      </c>
      <c r="N197" s="7"/>
      <c r="O197" s="38" t="s">
        <v>54</v>
      </c>
      <c r="P197" s="7"/>
      <c r="Q197" s="7"/>
      <c r="R197" s="7"/>
      <c r="S197" s="7"/>
      <c r="T197" s="7"/>
      <c r="U197" s="7"/>
      <c r="V197" s="7"/>
      <c r="W197" s="7"/>
      <c r="X197" s="7"/>
      <c r="Y197" s="7"/>
      <c r="Z197" s="7"/>
      <c r="AA197" s="7"/>
      <c r="AB197" s="11"/>
      <c r="AC197" s="11"/>
      <c r="AD197" s="11"/>
      <c r="AE197" s="11"/>
      <c r="AF197" s="11"/>
      <c r="AG197" s="11"/>
      <c r="AH197" s="11"/>
      <c r="AI197" s="11"/>
      <c r="AJ197" s="11"/>
      <c r="AK197" s="11"/>
      <c r="AL197" s="11"/>
    </row>
    <row r="198" spans="1:38" ht="15.75" customHeight="1">
      <c r="A198" s="7" t="s">
        <v>148</v>
      </c>
      <c r="B198" s="7" t="s">
        <v>626</v>
      </c>
      <c r="C198" s="173" t="s">
        <v>627</v>
      </c>
      <c r="D198" s="203" t="s">
        <v>628</v>
      </c>
      <c r="E198" s="157" t="str">
        <f t="shared" si="1"/>
        <v xml:space="preserve">e_hh_gthree
গ্রামে G3 রুই চাষ করেছে এমন কোন খানা সম্পর্কে আপনি জানেন কি? </v>
      </c>
      <c r="F198" s="8"/>
      <c r="G198" s="8"/>
      <c r="H198" s="7"/>
      <c r="I198" s="7"/>
      <c r="J198" s="7"/>
      <c r="K198" s="8"/>
      <c r="L198" s="8"/>
      <c r="M198" s="91" t="s">
        <v>629</v>
      </c>
      <c r="N198" s="7"/>
      <c r="O198" s="38" t="s">
        <v>54</v>
      </c>
      <c r="P198" s="7"/>
      <c r="Q198" s="7"/>
      <c r="R198" s="7"/>
      <c r="S198" s="7"/>
      <c r="T198" s="7"/>
      <c r="U198" s="7"/>
      <c r="V198" s="7"/>
      <c r="W198" s="7"/>
      <c r="X198" s="7"/>
      <c r="Y198" s="7"/>
      <c r="Z198" s="7"/>
      <c r="AA198" s="7"/>
      <c r="AB198" s="11"/>
      <c r="AC198" s="11"/>
      <c r="AD198" s="11"/>
      <c r="AE198" s="11"/>
      <c r="AF198" s="11"/>
      <c r="AG198" s="11"/>
      <c r="AH198" s="11"/>
      <c r="AI198" s="11"/>
      <c r="AJ198" s="11"/>
      <c r="AK198" s="11"/>
      <c r="AL198" s="11"/>
    </row>
    <row r="199" spans="1:38" ht="15.75" customHeight="1">
      <c r="A199" s="7" t="s">
        <v>148</v>
      </c>
      <c r="B199" s="7" t="s">
        <v>630</v>
      </c>
      <c r="C199" s="172" t="s">
        <v>631</v>
      </c>
      <c r="D199" s="204" t="s">
        <v>632</v>
      </c>
      <c r="E199" s="157" t="str">
        <f t="shared" si="1"/>
        <v>e_hatchery_tilapia
তেলাপিয়া বিক্রি করে এমন কোনো মাছের হ্যাচারি/ নার্সারি আছে কি?</v>
      </c>
      <c r="F199" s="8"/>
      <c r="G199" s="8"/>
      <c r="H199" s="7"/>
      <c r="I199" s="7"/>
      <c r="J199" s="7"/>
      <c r="K199" s="8"/>
      <c r="L199" s="8"/>
      <c r="M199" s="7"/>
      <c r="N199" s="7"/>
      <c r="O199" s="38" t="s">
        <v>54</v>
      </c>
      <c r="P199" s="7"/>
      <c r="Q199" s="7"/>
      <c r="R199" s="7"/>
      <c r="S199" s="7"/>
      <c r="T199" s="7"/>
      <c r="U199" s="7"/>
      <c r="V199" s="7"/>
      <c r="W199" s="7"/>
      <c r="X199" s="7"/>
      <c r="Y199" s="7"/>
      <c r="Z199" s="7"/>
      <c r="AA199" s="7"/>
      <c r="AB199" s="11"/>
      <c r="AC199" s="11"/>
      <c r="AD199" s="11"/>
      <c r="AE199" s="11"/>
      <c r="AF199" s="11"/>
      <c r="AG199" s="11"/>
      <c r="AH199" s="11"/>
      <c r="AI199" s="11"/>
      <c r="AJ199" s="11"/>
      <c r="AK199" s="11"/>
      <c r="AL199" s="11"/>
    </row>
    <row r="200" spans="1:38" ht="15.75" customHeight="1">
      <c r="A200" s="7" t="s">
        <v>148</v>
      </c>
      <c r="B200" s="7" t="s">
        <v>633</v>
      </c>
      <c r="C200" s="173" t="s">
        <v>634</v>
      </c>
      <c r="D200" s="202" t="s">
        <v>635</v>
      </c>
      <c r="E200" s="157" t="str">
        <f t="shared" si="1"/>
        <v>e_hatchery_gift
GIFT তেলাপিয়া বিক্রি করে এমন কোনো মাছের হ্যাচারি/ নার্সারি আছে কি?</v>
      </c>
      <c r="F200" s="8"/>
      <c r="G200" s="8"/>
      <c r="H200" s="7"/>
      <c r="I200" s="7"/>
      <c r="J200" s="7"/>
      <c r="K200" s="8"/>
      <c r="L200" s="8"/>
      <c r="M200" s="91" t="s">
        <v>636</v>
      </c>
      <c r="N200" s="7"/>
      <c r="O200" s="38" t="s">
        <v>54</v>
      </c>
      <c r="P200" s="7"/>
      <c r="Q200" s="7"/>
      <c r="R200" s="7"/>
      <c r="S200" s="7"/>
      <c r="T200" s="7"/>
      <c r="U200" s="7"/>
      <c r="V200" s="7"/>
      <c r="W200" s="7"/>
      <c r="X200" s="7"/>
      <c r="Y200" s="7"/>
      <c r="Z200" s="7"/>
      <c r="AA200" s="7"/>
      <c r="AB200" s="11"/>
      <c r="AC200" s="11"/>
      <c r="AD200" s="11"/>
      <c r="AE200" s="11"/>
      <c r="AF200" s="11"/>
      <c r="AG200" s="11"/>
      <c r="AH200" s="11"/>
      <c r="AI200" s="11"/>
      <c r="AJ200" s="11"/>
      <c r="AK200" s="11"/>
      <c r="AL200" s="11"/>
    </row>
    <row r="201" spans="1:38" ht="15.75" customHeight="1">
      <c r="A201" s="7" t="s">
        <v>148</v>
      </c>
      <c r="B201" s="7" t="s">
        <v>637</v>
      </c>
      <c r="C201" s="173" t="s">
        <v>638</v>
      </c>
      <c r="D201" s="203" t="s">
        <v>639</v>
      </c>
      <c r="E201" s="157" t="str">
        <f t="shared" si="1"/>
        <v xml:space="preserve">e_hh_gift
গ্রামে GIFT তেলাপিয়া চাষ করেছে এমন কোন খানা সম্পর্কে আপনি জানেন কি? </v>
      </c>
      <c r="F201" s="8"/>
      <c r="G201" s="8"/>
      <c r="H201" s="7"/>
      <c r="I201" s="7"/>
      <c r="J201" s="7"/>
      <c r="K201" s="8"/>
      <c r="L201" s="8"/>
      <c r="M201" s="91" t="s">
        <v>640</v>
      </c>
      <c r="N201" s="7"/>
      <c r="O201" s="38" t="s">
        <v>54</v>
      </c>
      <c r="P201" s="7"/>
      <c r="Q201" s="7"/>
      <c r="R201" s="7"/>
      <c r="S201" s="7"/>
      <c r="T201" s="7"/>
      <c r="U201" s="7"/>
      <c r="V201" s="7"/>
      <c r="W201" s="7"/>
      <c r="X201" s="7"/>
      <c r="Y201" s="7"/>
      <c r="Z201" s="7"/>
      <c r="AA201" s="7"/>
      <c r="AB201" s="11"/>
      <c r="AC201" s="11"/>
      <c r="AD201" s="11"/>
      <c r="AE201" s="11"/>
      <c r="AF201" s="11"/>
      <c r="AG201" s="11"/>
      <c r="AH201" s="11"/>
      <c r="AI201" s="11"/>
      <c r="AJ201" s="11"/>
      <c r="AK201" s="11"/>
      <c r="AL201" s="11"/>
    </row>
    <row r="202" spans="1:38" ht="15.75" customHeight="1">
      <c r="A202" s="7" t="s">
        <v>148</v>
      </c>
      <c r="B202" s="7" t="s">
        <v>641</v>
      </c>
      <c r="C202" s="172" t="s">
        <v>642</v>
      </c>
      <c r="D202" s="203" t="s">
        <v>643</v>
      </c>
      <c r="E202" s="157" t="str">
        <f t="shared" si="1"/>
        <v>e_all_fingerling
আপনি যে সকল ধরনের পোনা (ফিঙ্গারলিং) কিনতে চেয়েছিলেন সেই সকল ধরনের মাছের পোনা পেয়েছিলেন কি?</v>
      </c>
      <c r="F202" s="8"/>
      <c r="G202" s="8"/>
      <c r="H202" s="7"/>
      <c r="I202" s="7"/>
      <c r="J202" s="7"/>
      <c r="K202" s="8"/>
      <c r="L202" s="8"/>
      <c r="M202" s="7" t="s">
        <v>644</v>
      </c>
      <c r="N202" s="7"/>
      <c r="O202" s="38" t="s">
        <v>54</v>
      </c>
      <c r="P202" s="7"/>
      <c r="Q202" s="7"/>
      <c r="R202" s="7"/>
      <c r="S202" s="7"/>
      <c r="T202" s="7"/>
      <c r="U202" s="7"/>
      <c r="V202" s="7"/>
      <c r="W202" s="7"/>
      <c r="X202" s="7"/>
      <c r="Y202" s="7"/>
      <c r="Z202" s="7"/>
      <c r="AA202" s="7"/>
      <c r="AB202" s="11"/>
      <c r="AC202" s="11"/>
      <c r="AD202" s="11"/>
      <c r="AE202" s="11"/>
      <c r="AF202" s="11"/>
      <c r="AG202" s="11"/>
      <c r="AH202" s="11"/>
      <c r="AI202" s="11"/>
      <c r="AJ202" s="11"/>
      <c r="AK202" s="11"/>
      <c r="AL202" s="11"/>
    </row>
    <row r="203" spans="1:38" ht="15.75" customHeight="1">
      <c r="A203" s="7" t="s">
        <v>645</v>
      </c>
      <c r="B203" s="7" t="s">
        <v>646</v>
      </c>
      <c r="C203" s="173" t="s">
        <v>647</v>
      </c>
      <c r="D203" s="205" t="s">
        <v>648</v>
      </c>
      <c r="E203" s="157" t="str">
        <f t="shared" si="1"/>
        <v>e_fingerling_source
আপনি প্রধানত কোথা থেকে পোনা (ফিঙ্গারলিং) কিনেন?</v>
      </c>
      <c r="F203" s="8"/>
      <c r="G203" s="8"/>
      <c r="H203" s="7"/>
      <c r="I203" s="7"/>
      <c r="J203" s="7"/>
      <c r="K203" s="8"/>
      <c r="L203" s="8"/>
      <c r="M203" s="7" t="s">
        <v>644</v>
      </c>
      <c r="N203" s="7"/>
      <c r="O203" s="38" t="s">
        <v>54</v>
      </c>
      <c r="P203" s="7"/>
      <c r="Q203" s="7"/>
      <c r="R203" s="7"/>
      <c r="S203" s="7"/>
      <c r="T203" s="7"/>
      <c r="U203" s="7"/>
      <c r="V203" s="7"/>
      <c r="W203" s="7"/>
      <c r="X203" s="7"/>
      <c r="Y203" s="7"/>
      <c r="Z203" s="7"/>
      <c r="AA203" s="7"/>
      <c r="AB203" s="11"/>
      <c r="AC203" s="11"/>
      <c r="AD203" s="11"/>
      <c r="AE203" s="11"/>
      <c r="AF203" s="11"/>
      <c r="AG203" s="11"/>
      <c r="AH203" s="11"/>
      <c r="AI203" s="11"/>
      <c r="AJ203" s="11"/>
      <c r="AK203" s="11"/>
      <c r="AL203" s="11"/>
    </row>
    <row r="204" spans="1:38" ht="15.75" customHeight="1">
      <c r="A204" s="7" t="s">
        <v>144</v>
      </c>
      <c r="B204" s="7" t="s">
        <v>649</v>
      </c>
      <c r="C204" s="173" t="s">
        <v>650</v>
      </c>
      <c r="D204" s="203" t="s">
        <v>651</v>
      </c>
      <c r="E204" s="157" t="str">
        <f t="shared" si="1"/>
        <v>e_fl_address_own
নিজের উপজেলার মধ্যে ডিলারের ঠিকানা</v>
      </c>
      <c r="F204" s="8"/>
      <c r="G204" s="8"/>
      <c r="H204" s="7"/>
      <c r="I204" s="7"/>
      <c r="J204" s="7"/>
      <c r="K204" s="8"/>
      <c r="L204" s="8"/>
      <c r="M204" s="91" t="s">
        <v>652</v>
      </c>
      <c r="N204" s="7"/>
      <c r="O204" s="38" t="s">
        <v>54</v>
      </c>
      <c r="P204" s="7"/>
      <c r="Q204" s="7"/>
      <c r="R204" s="7"/>
      <c r="S204" s="7"/>
      <c r="T204" s="7"/>
      <c r="U204" s="7"/>
      <c r="V204" s="7"/>
      <c r="W204" s="7"/>
      <c r="X204" s="7"/>
      <c r="Y204" s="7"/>
      <c r="Z204" s="7"/>
      <c r="AA204" s="7"/>
      <c r="AB204" s="11"/>
      <c r="AC204" s="11"/>
      <c r="AD204" s="11"/>
      <c r="AE204" s="11"/>
      <c r="AF204" s="11"/>
      <c r="AG204" s="11"/>
      <c r="AH204" s="11"/>
      <c r="AI204" s="11"/>
      <c r="AJ204" s="11"/>
      <c r="AK204" s="11"/>
      <c r="AL204" s="11"/>
    </row>
    <row r="205" spans="1:38" ht="15.75" customHeight="1">
      <c r="A205" s="7" t="s">
        <v>144</v>
      </c>
      <c r="B205" s="7" t="s">
        <v>653</v>
      </c>
      <c r="C205" s="173" t="s">
        <v>654</v>
      </c>
      <c r="D205" s="203" t="s">
        <v>655</v>
      </c>
      <c r="E205" s="157" t="str">
        <f t="shared" si="1"/>
        <v>e_fl_number_own
 নিজের উপজেলার মধ্যে ডিলারের ফোন নম্বর</v>
      </c>
      <c r="F205" s="96" t="s">
        <v>173</v>
      </c>
      <c r="G205" s="96" t="s">
        <v>174</v>
      </c>
      <c r="H205" s="8"/>
      <c r="I205" s="7"/>
      <c r="J205" s="97" t="s">
        <v>175</v>
      </c>
      <c r="K205" s="97" t="s">
        <v>176</v>
      </c>
      <c r="L205" s="97" t="s">
        <v>177</v>
      </c>
      <c r="M205" s="91" t="s">
        <v>652</v>
      </c>
      <c r="N205" s="7"/>
      <c r="O205" s="38" t="s">
        <v>54</v>
      </c>
      <c r="P205" s="7"/>
      <c r="Q205" s="7"/>
      <c r="R205" s="7"/>
      <c r="S205" s="7"/>
      <c r="T205" s="7"/>
      <c r="U205" s="7"/>
      <c r="V205" s="7"/>
      <c r="W205" s="7"/>
      <c r="X205" s="7"/>
      <c r="Y205" s="7"/>
      <c r="Z205" s="7"/>
      <c r="AA205" s="7"/>
      <c r="AB205" s="11"/>
      <c r="AC205" s="11"/>
      <c r="AD205" s="11"/>
      <c r="AE205" s="11"/>
      <c r="AF205" s="11"/>
      <c r="AG205" s="11"/>
      <c r="AH205" s="11"/>
      <c r="AI205" s="11"/>
      <c r="AJ205" s="11"/>
      <c r="AK205" s="11"/>
      <c r="AL205" s="11"/>
    </row>
    <row r="206" spans="1:38" ht="15.75" customHeight="1">
      <c r="A206" s="7" t="s">
        <v>323</v>
      </c>
      <c r="B206" s="7" t="s">
        <v>656</v>
      </c>
      <c r="C206" s="173" t="s">
        <v>657</v>
      </c>
      <c r="D206" s="203" t="s">
        <v>658</v>
      </c>
      <c r="E206" s="157" t="str">
        <f t="shared" si="1"/>
        <v>e_fl_distance_own
নিজের উপজেলার মধ্যের ডিলার আপনার অবস্থান থেকে কত দূরে? (মিটারে)</v>
      </c>
      <c r="F206" s="8"/>
      <c r="G206" s="8"/>
      <c r="H206" s="7"/>
      <c r="I206" s="7"/>
      <c r="J206" s="7"/>
      <c r="K206" s="8"/>
      <c r="L206" s="8"/>
      <c r="M206" s="91" t="s">
        <v>652</v>
      </c>
      <c r="N206" s="7"/>
      <c r="O206" s="38" t="s">
        <v>54</v>
      </c>
      <c r="P206" s="7"/>
      <c r="Q206" s="7"/>
      <c r="R206" s="7"/>
      <c r="S206" s="7"/>
      <c r="T206" s="7"/>
      <c r="U206" s="7"/>
      <c r="V206" s="7"/>
      <c r="W206" s="7"/>
      <c r="X206" s="7"/>
      <c r="Y206" s="7"/>
      <c r="Z206" s="7"/>
      <c r="AA206" s="7"/>
      <c r="AB206" s="11"/>
      <c r="AC206" s="11"/>
      <c r="AD206" s="11"/>
      <c r="AE206" s="11"/>
      <c r="AF206" s="11"/>
      <c r="AG206" s="11"/>
      <c r="AH206" s="11"/>
      <c r="AI206" s="11"/>
      <c r="AJ206" s="11"/>
      <c r="AK206" s="11"/>
      <c r="AL206" s="11"/>
    </row>
    <row r="207" spans="1:38" ht="15.75" customHeight="1">
      <c r="A207" s="7" t="s">
        <v>144</v>
      </c>
      <c r="B207" s="7" t="s">
        <v>659</v>
      </c>
      <c r="C207" s="173" t="s">
        <v>660</v>
      </c>
      <c r="D207" s="203" t="s">
        <v>661</v>
      </c>
      <c r="E207" s="157" t="str">
        <f t="shared" si="1"/>
        <v>e_fl_address_out
নিজের উপজেলার বাইরের ডিলারের ঠিকানা</v>
      </c>
      <c r="F207" s="8"/>
      <c r="G207" s="8"/>
      <c r="H207" s="7"/>
      <c r="I207" s="7"/>
      <c r="J207" s="7"/>
      <c r="K207" s="8"/>
      <c r="L207" s="8"/>
      <c r="M207" s="91" t="s">
        <v>662</v>
      </c>
      <c r="N207" s="7"/>
      <c r="O207" s="38" t="s">
        <v>54</v>
      </c>
      <c r="P207" s="7"/>
      <c r="Q207" s="7"/>
      <c r="R207" s="7"/>
      <c r="S207" s="7"/>
      <c r="T207" s="7"/>
      <c r="U207" s="7"/>
      <c r="V207" s="7"/>
      <c r="W207" s="7"/>
      <c r="X207" s="7"/>
      <c r="Y207" s="7"/>
      <c r="Z207" s="7"/>
      <c r="AA207" s="7"/>
      <c r="AB207" s="11"/>
      <c r="AC207" s="11"/>
      <c r="AD207" s="11"/>
      <c r="AE207" s="11"/>
      <c r="AF207" s="11"/>
      <c r="AG207" s="11"/>
      <c r="AH207" s="11"/>
      <c r="AI207" s="11"/>
      <c r="AJ207" s="11"/>
      <c r="AK207" s="11"/>
      <c r="AL207" s="11"/>
    </row>
    <row r="208" spans="1:38" ht="15.75" customHeight="1">
      <c r="A208" s="7" t="s">
        <v>144</v>
      </c>
      <c r="B208" s="7" t="s">
        <v>663</v>
      </c>
      <c r="C208" s="173" t="s">
        <v>664</v>
      </c>
      <c r="D208" s="203" t="s">
        <v>665</v>
      </c>
      <c r="E208" s="157" t="str">
        <f t="shared" si="1"/>
        <v>e_fl_number_out
 নিজের উপজেলার বাইরের ডিলারের ফোন নম্বর</v>
      </c>
      <c r="F208" s="96" t="s">
        <v>173</v>
      </c>
      <c r="G208" s="96" t="s">
        <v>174</v>
      </c>
      <c r="H208" s="8"/>
      <c r="I208" s="7"/>
      <c r="J208" s="97" t="s">
        <v>175</v>
      </c>
      <c r="K208" s="97" t="s">
        <v>176</v>
      </c>
      <c r="L208" s="97" t="s">
        <v>177</v>
      </c>
      <c r="M208" s="91" t="s">
        <v>662</v>
      </c>
      <c r="N208" s="7"/>
      <c r="O208" s="38" t="s">
        <v>54</v>
      </c>
      <c r="P208" s="7"/>
      <c r="Q208" s="7"/>
      <c r="R208" s="7"/>
      <c r="S208" s="7"/>
      <c r="T208" s="7"/>
      <c r="U208" s="7"/>
      <c r="V208" s="7"/>
      <c r="W208" s="7"/>
      <c r="X208" s="7"/>
      <c r="Y208" s="7"/>
      <c r="Z208" s="7"/>
      <c r="AA208" s="7"/>
      <c r="AB208" s="11"/>
      <c r="AC208" s="11"/>
      <c r="AD208" s="11"/>
      <c r="AE208" s="11"/>
      <c r="AF208" s="11"/>
      <c r="AG208" s="11"/>
      <c r="AH208" s="11"/>
      <c r="AI208" s="11"/>
      <c r="AJ208" s="11"/>
      <c r="AK208" s="11"/>
      <c r="AL208" s="11"/>
    </row>
    <row r="209" spans="1:38" ht="15.75" customHeight="1">
      <c r="A209" s="7" t="s">
        <v>323</v>
      </c>
      <c r="B209" s="7" t="s">
        <v>666</v>
      </c>
      <c r="C209" s="173" t="s">
        <v>657</v>
      </c>
      <c r="D209" s="203" t="s">
        <v>667</v>
      </c>
      <c r="E209" s="157" t="str">
        <f t="shared" si="1"/>
        <v>e_fl_distance_out
নিজের উপজেলার বাইরের ডিলার আপনার অবস্থান থেকে কত দূরে? (মিটারে)</v>
      </c>
      <c r="F209" s="8"/>
      <c r="G209" s="8"/>
      <c r="H209" s="7"/>
      <c r="I209" s="7"/>
      <c r="J209" s="7"/>
      <c r="K209" s="8"/>
      <c r="L209" s="8"/>
      <c r="M209" s="91" t="s">
        <v>662</v>
      </c>
      <c r="N209" s="7"/>
      <c r="O209" s="38" t="s">
        <v>54</v>
      </c>
      <c r="P209" s="7"/>
      <c r="Q209" s="7"/>
      <c r="R209" s="7"/>
      <c r="S209" s="7"/>
      <c r="T209" s="7"/>
      <c r="U209" s="7"/>
      <c r="V209" s="7"/>
      <c r="W209" s="7"/>
      <c r="X209" s="7"/>
      <c r="Y209" s="7"/>
      <c r="Z209" s="7"/>
      <c r="AA209" s="7"/>
      <c r="AB209" s="11"/>
      <c r="AC209" s="11"/>
      <c r="AD209" s="11"/>
      <c r="AE209" s="11"/>
      <c r="AF209" s="11"/>
      <c r="AG209" s="11"/>
      <c r="AH209" s="11"/>
      <c r="AI209" s="11"/>
      <c r="AJ209" s="11"/>
      <c r="AK209" s="11"/>
      <c r="AL209" s="11"/>
    </row>
    <row r="210" spans="1:38" ht="15.75" customHeight="1">
      <c r="A210" s="7" t="s">
        <v>144</v>
      </c>
      <c r="B210" s="7" t="s">
        <v>668</v>
      </c>
      <c r="C210" s="173" t="s">
        <v>669</v>
      </c>
      <c r="D210" s="203" t="s">
        <v>670</v>
      </c>
      <c r="E210" s="157" t="str">
        <f t="shared" si="1"/>
        <v>e_fl_address_oth
আগের প্রশ্নে অন্যান্য সিলেক্ট করে থাকলে সেই ডিলারের ঠিকানা</v>
      </c>
      <c r="F210" s="8"/>
      <c r="G210" s="8"/>
      <c r="H210" s="7"/>
      <c r="I210" s="7"/>
      <c r="J210" s="7"/>
      <c r="K210" s="8"/>
      <c r="L210" s="8"/>
      <c r="M210" s="91" t="s">
        <v>671</v>
      </c>
      <c r="N210" s="7"/>
      <c r="O210" s="38" t="s">
        <v>54</v>
      </c>
      <c r="P210" s="7"/>
      <c r="Q210" s="7"/>
      <c r="R210" s="7"/>
      <c r="S210" s="7"/>
      <c r="T210" s="7"/>
      <c r="U210" s="7"/>
      <c r="V210" s="7"/>
      <c r="W210" s="7"/>
      <c r="X210" s="7"/>
      <c r="Y210" s="7"/>
      <c r="Z210" s="7"/>
      <c r="AA210" s="7"/>
      <c r="AB210" s="11"/>
      <c r="AC210" s="11"/>
      <c r="AD210" s="11"/>
      <c r="AE210" s="11"/>
      <c r="AF210" s="11"/>
      <c r="AG210" s="11"/>
      <c r="AH210" s="11"/>
      <c r="AI210" s="11"/>
      <c r="AJ210" s="11"/>
      <c r="AK210" s="11"/>
      <c r="AL210" s="11"/>
    </row>
    <row r="211" spans="1:38" ht="15.75" customHeight="1">
      <c r="A211" s="7" t="s">
        <v>144</v>
      </c>
      <c r="B211" s="7" t="s">
        <v>672</v>
      </c>
      <c r="C211" s="173" t="s">
        <v>673</v>
      </c>
      <c r="D211" s="203" t="s">
        <v>674</v>
      </c>
      <c r="E211" s="157" t="str">
        <f t="shared" si="1"/>
        <v>e_fl_number_oth
আগের প্রশ্নে অন্যান্য সিলেক্ট করে থাকলে সেই ডিলারের ফোন নম্বর</v>
      </c>
      <c r="F211" s="96" t="s">
        <v>173</v>
      </c>
      <c r="G211" s="96" t="s">
        <v>174</v>
      </c>
      <c r="H211" s="8"/>
      <c r="I211" s="7"/>
      <c r="J211" s="97" t="s">
        <v>175</v>
      </c>
      <c r="K211" s="97" t="s">
        <v>176</v>
      </c>
      <c r="L211" s="97" t="s">
        <v>177</v>
      </c>
      <c r="M211" s="91" t="s">
        <v>671</v>
      </c>
      <c r="N211" s="7"/>
      <c r="O211" s="38" t="s">
        <v>54</v>
      </c>
      <c r="P211" s="7"/>
      <c r="Q211" s="7"/>
      <c r="R211" s="7"/>
      <c r="S211" s="7"/>
      <c r="T211" s="7"/>
      <c r="U211" s="7"/>
      <c r="V211" s="7"/>
      <c r="W211" s="7"/>
      <c r="X211" s="7"/>
      <c r="Y211" s="7"/>
      <c r="Z211" s="7"/>
      <c r="AA211" s="7"/>
      <c r="AB211" s="11"/>
      <c r="AC211" s="11"/>
      <c r="AD211" s="11"/>
      <c r="AE211" s="11"/>
      <c r="AF211" s="11"/>
      <c r="AG211" s="11"/>
      <c r="AH211" s="11"/>
      <c r="AI211" s="11"/>
      <c r="AJ211" s="11"/>
      <c r="AK211" s="11"/>
      <c r="AL211" s="11"/>
    </row>
    <row r="212" spans="1:38" ht="15.75" customHeight="1">
      <c r="A212" s="7" t="s">
        <v>323</v>
      </c>
      <c r="B212" s="7" t="s">
        <v>675</v>
      </c>
      <c r="C212" s="173" t="s">
        <v>676</v>
      </c>
      <c r="D212" s="203" t="s">
        <v>677</v>
      </c>
      <c r="E212" s="157" t="str">
        <f t="shared" si="1"/>
        <v>e_fl_distance_oth
আগের প্রশ্নে অন্যান্য সিলেক্ট করে থাকলে সেই ডিলার আপনার অবস্থান থেকে কত দূরে? (মিটারে)</v>
      </c>
      <c r="F212" s="8"/>
      <c r="G212" s="8"/>
      <c r="H212" s="7"/>
      <c r="I212" s="7"/>
      <c r="J212" s="7"/>
      <c r="K212" s="8"/>
      <c r="L212" s="8"/>
      <c r="M212" s="91" t="s">
        <v>671</v>
      </c>
      <c r="N212" s="7"/>
      <c r="O212" s="38" t="s">
        <v>54</v>
      </c>
      <c r="P212" s="7"/>
      <c r="Q212" s="7"/>
      <c r="R212" s="7"/>
      <c r="S212" s="7"/>
      <c r="T212" s="7"/>
      <c r="U212" s="7"/>
      <c r="V212" s="7"/>
      <c r="W212" s="7"/>
      <c r="X212" s="7"/>
      <c r="Y212" s="7"/>
      <c r="Z212" s="7"/>
      <c r="AA212" s="7"/>
      <c r="AB212" s="11"/>
      <c r="AC212" s="11"/>
      <c r="AD212" s="11"/>
      <c r="AE212" s="11"/>
      <c r="AF212" s="11"/>
      <c r="AG212" s="11"/>
      <c r="AH212" s="11"/>
      <c r="AI212" s="11"/>
      <c r="AJ212" s="11"/>
      <c r="AK212" s="11"/>
      <c r="AL212" s="11"/>
    </row>
    <row r="213" spans="1:38" ht="15.75" customHeight="1">
      <c r="A213" s="7" t="s">
        <v>678</v>
      </c>
      <c r="B213" s="7" t="s">
        <v>679</v>
      </c>
      <c r="C213" s="173" t="s">
        <v>575</v>
      </c>
      <c r="D213" s="181" t="s">
        <v>680</v>
      </c>
      <c r="E213" s="157" t="str">
        <f t="shared" si="1"/>
        <v>e_reg_dealer
আপনি কি কোন রেজিস্টার্ড বা নিবন্ধিত ডিলার?</v>
      </c>
      <c r="F213" s="8"/>
      <c r="G213" s="8"/>
      <c r="H213" s="7"/>
      <c r="I213" s="7"/>
      <c r="J213" s="7"/>
      <c r="K213" s="8"/>
      <c r="L213" s="8"/>
      <c r="M213" s="7"/>
      <c r="N213" s="7"/>
      <c r="O213" s="38" t="s">
        <v>54</v>
      </c>
      <c r="P213" s="7"/>
      <c r="Q213" s="7"/>
      <c r="R213" s="7"/>
      <c r="S213" s="7"/>
      <c r="T213" s="7"/>
      <c r="U213" s="7"/>
      <c r="V213" s="7"/>
      <c r="W213" s="7"/>
      <c r="X213" s="7"/>
      <c r="Y213" s="7"/>
      <c r="Z213" s="7"/>
      <c r="AA213" s="7"/>
      <c r="AB213" s="11"/>
      <c r="AC213" s="11"/>
      <c r="AD213" s="11"/>
      <c r="AE213" s="11"/>
      <c r="AF213" s="11"/>
      <c r="AG213" s="11"/>
      <c r="AH213" s="11"/>
      <c r="AI213" s="11"/>
      <c r="AJ213" s="11"/>
      <c r="AK213" s="11"/>
      <c r="AL213" s="11"/>
    </row>
    <row r="214" spans="1:38" ht="15.75" customHeight="1">
      <c r="A214" s="7" t="s">
        <v>578</v>
      </c>
      <c r="B214" s="7" t="s">
        <v>681</v>
      </c>
      <c r="C214" s="173" t="s">
        <v>682</v>
      </c>
      <c r="D214" s="10" t="s">
        <v>581</v>
      </c>
      <c r="E214" s="157" t="str">
        <f t="shared" si="1"/>
        <v>e_fish_reg
আপনি কোথা থেকে নিবন্ধন করেছেন?</v>
      </c>
      <c r="F214" s="8"/>
      <c r="G214" s="8"/>
      <c r="H214" s="7"/>
      <c r="I214" s="7"/>
      <c r="J214" s="7"/>
      <c r="K214" s="8"/>
      <c r="L214" s="8"/>
      <c r="M214" s="91" t="s">
        <v>683</v>
      </c>
      <c r="N214" s="7"/>
      <c r="O214" s="38" t="s">
        <v>54</v>
      </c>
      <c r="P214" s="7"/>
      <c r="Q214" s="7"/>
      <c r="R214" s="7"/>
      <c r="S214" s="7"/>
      <c r="T214" s="7"/>
      <c r="U214" s="7"/>
      <c r="V214" s="7"/>
      <c r="W214" s="7"/>
      <c r="X214" s="7"/>
      <c r="Y214" s="7"/>
      <c r="Z214" s="7"/>
      <c r="AA214" s="7"/>
      <c r="AB214" s="11"/>
      <c r="AC214" s="11"/>
      <c r="AD214" s="11"/>
      <c r="AE214" s="11"/>
      <c r="AF214" s="11"/>
      <c r="AG214" s="11"/>
      <c r="AH214" s="11"/>
      <c r="AI214" s="11"/>
      <c r="AJ214" s="11"/>
      <c r="AK214" s="11"/>
      <c r="AL214" s="11"/>
    </row>
    <row r="215" spans="1:38" ht="15.75" customHeight="1">
      <c r="A215" s="175" t="s">
        <v>144</v>
      </c>
      <c r="B215" s="176" t="s">
        <v>684</v>
      </c>
      <c r="C215" s="177" t="s">
        <v>167</v>
      </c>
      <c r="D215" s="95" t="s">
        <v>168</v>
      </c>
      <c r="E215" s="191" t="str">
        <f t="shared" si="1"/>
        <v>e_fish_reg_oth
অন্যান্য(উল্লেখ করুন)</v>
      </c>
      <c r="F215" s="178"/>
      <c r="G215" s="179"/>
      <c r="H215" s="180"/>
      <c r="I215" s="179"/>
      <c r="J215" s="180"/>
      <c r="K215" s="180"/>
      <c r="L215" s="180"/>
      <c r="M215" s="91" t="s">
        <v>685</v>
      </c>
      <c r="N215" s="180"/>
      <c r="O215" s="38" t="s">
        <v>54</v>
      </c>
      <c r="P215" s="180"/>
      <c r="Q215" s="180"/>
      <c r="R215" s="180"/>
      <c r="S215" s="180"/>
      <c r="T215" s="180"/>
      <c r="U215" s="180"/>
      <c r="V215" s="180"/>
      <c r="W215" s="180"/>
      <c r="X215" s="180"/>
      <c r="Y215" s="180"/>
      <c r="Z215" s="180"/>
      <c r="AA215" s="180"/>
      <c r="AB215" s="22"/>
      <c r="AC215" s="22"/>
      <c r="AD215" s="22"/>
      <c r="AE215" s="22"/>
      <c r="AF215" s="22"/>
      <c r="AG215" s="22"/>
      <c r="AH215" s="22"/>
      <c r="AI215" s="22"/>
      <c r="AJ215" s="22"/>
      <c r="AK215" s="22"/>
      <c r="AL215" s="22"/>
    </row>
    <row r="216" spans="1:38" ht="15.75" customHeight="1">
      <c r="A216" s="7" t="s">
        <v>390</v>
      </c>
      <c r="B216" s="7" t="s">
        <v>589</v>
      </c>
      <c r="C216" s="9" t="s">
        <v>686</v>
      </c>
      <c r="D216" s="10"/>
      <c r="E216" s="157" t="str">
        <f t="shared" si="1"/>
        <v xml:space="preserve">mod_e
</v>
      </c>
      <c r="F216" s="8"/>
      <c r="G216" s="8"/>
      <c r="H216" s="7"/>
      <c r="I216" s="7"/>
      <c r="J216" s="7"/>
      <c r="K216" s="8"/>
      <c r="L216" s="8"/>
      <c r="M216" s="7"/>
      <c r="N216" s="7"/>
      <c r="O216" s="7"/>
      <c r="P216" s="7"/>
      <c r="Q216" s="7"/>
      <c r="R216" s="7"/>
      <c r="S216" s="7"/>
      <c r="T216" s="7"/>
      <c r="U216" s="7"/>
      <c r="V216" s="7"/>
      <c r="W216" s="7"/>
      <c r="X216" s="7"/>
      <c r="Y216" s="7"/>
      <c r="Z216" s="7"/>
      <c r="AA216" s="7"/>
      <c r="AB216" s="11"/>
      <c r="AC216" s="11"/>
      <c r="AD216" s="11"/>
      <c r="AE216" s="11"/>
      <c r="AF216" s="11"/>
      <c r="AG216" s="11"/>
      <c r="AH216" s="11"/>
      <c r="AI216" s="11"/>
      <c r="AJ216" s="11"/>
      <c r="AK216" s="11"/>
      <c r="AL216" s="11"/>
    </row>
    <row r="217" spans="1:38" ht="15.75" customHeight="1">
      <c r="A217" s="7" t="s">
        <v>218</v>
      </c>
      <c r="B217" s="7" t="s">
        <v>687</v>
      </c>
      <c r="C217" s="9" t="s">
        <v>688</v>
      </c>
      <c r="D217" s="206" t="s">
        <v>689</v>
      </c>
      <c r="E217" s="157" t="str">
        <f t="shared" si="1"/>
        <v>mod_f
Module F: মাছ ধরার নিয়ম – রীতি সম্পর্কিত</v>
      </c>
      <c r="F217" s="8"/>
      <c r="G217" s="8"/>
      <c r="H217" s="7"/>
      <c r="I217" s="7"/>
      <c r="J217" s="7"/>
      <c r="K217" s="8"/>
      <c r="L217" s="8"/>
      <c r="M217" s="7"/>
      <c r="N217" s="7"/>
      <c r="O217" s="7"/>
      <c r="P217" s="7"/>
      <c r="Q217" s="7"/>
      <c r="R217" s="7"/>
      <c r="S217" s="7"/>
      <c r="T217" s="7"/>
      <c r="U217" s="7"/>
      <c r="V217" s="7"/>
      <c r="W217" s="7"/>
      <c r="X217" s="7"/>
      <c r="Y217" s="7"/>
      <c r="Z217" s="7"/>
      <c r="AA217" s="7"/>
      <c r="AB217" s="11"/>
      <c r="AC217" s="11"/>
      <c r="AD217" s="11"/>
      <c r="AE217" s="11"/>
      <c r="AF217" s="11"/>
      <c r="AG217" s="11"/>
      <c r="AH217" s="11"/>
      <c r="AI217" s="11"/>
      <c r="AJ217" s="11"/>
      <c r="AK217" s="11"/>
      <c r="AL217" s="11"/>
    </row>
    <row r="218" spans="1:38" ht="15.75" customHeight="1">
      <c r="A218" s="7" t="s">
        <v>23</v>
      </c>
      <c r="B218" s="7" t="s">
        <v>690</v>
      </c>
      <c r="C218" s="74" t="s">
        <v>691</v>
      </c>
      <c r="D218" s="192" t="s">
        <v>692</v>
      </c>
      <c r="E218" s="157" t="str">
        <f t="shared" si="1"/>
        <v xml:space="preserve">f_note
নোট: গ্রামের সবচেয়ে বড় বাজারের সবচেয়ে নামকরা মাছ ব্যবসায়ীর সাক্ষাৎকার আমরা নেব। অভয়াশ্রম বলতে নদী, হাওর-বাওড়, উপকূল/মোহনা, মুক্ত জলাশয়, সমুদ্র/সমুদ্র তীরবর্তী অঞ্চল যে সকল জায়গায় মাছ ধরার নিষেধাজ্ঞা প্রয়োগ করা হয়।  </v>
      </c>
      <c r="F218" s="8"/>
      <c r="G218" s="8"/>
      <c r="H218" s="7"/>
      <c r="I218" s="7"/>
      <c r="J218" s="7"/>
      <c r="K218" s="8"/>
      <c r="L218" s="8"/>
      <c r="M218" s="7"/>
      <c r="N218" s="7"/>
      <c r="O218" s="7"/>
      <c r="P218" s="7"/>
      <c r="Q218" s="7"/>
      <c r="R218" s="7"/>
      <c r="S218" s="7"/>
      <c r="T218" s="7"/>
      <c r="U218" s="7"/>
      <c r="V218" s="7"/>
      <c r="W218" s="7"/>
      <c r="X218" s="7"/>
      <c r="Y218" s="7"/>
      <c r="Z218" s="7"/>
      <c r="AA218" s="7"/>
      <c r="AB218" s="11"/>
      <c r="AC218" s="11"/>
      <c r="AD218" s="11"/>
      <c r="AE218" s="11"/>
      <c r="AF218" s="11"/>
      <c r="AG218" s="11"/>
      <c r="AH218" s="11"/>
      <c r="AI218" s="11"/>
      <c r="AJ218" s="11"/>
      <c r="AK218" s="11"/>
      <c r="AL218" s="11"/>
    </row>
    <row r="219" spans="1:38" ht="15.75" customHeight="1">
      <c r="A219" s="7" t="s">
        <v>148</v>
      </c>
      <c r="B219" s="7" t="s">
        <v>693</v>
      </c>
      <c r="C219" s="172" t="s">
        <v>694</v>
      </c>
      <c r="D219" s="75" t="s">
        <v>695</v>
      </c>
      <c r="E219" s="157" t="str">
        <f t="shared" si="1"/>
        <v>f_sanct_avail
আপনার গ্রামে কোন মৎস্য অভয়াশ্রম আছে কী?</v>
      </c>
      <c r="F219" s="8"/>
      <c r="G219" s="8"/>
      <c r="H219" s="7"/>
      <c r="I219" s="7"/>
      <c r="J219" s="7"/>
      <c r="K219" s="8"/>
      <c r="L219" s="8"/>
      <c r="M219" s="7"/>
      <c r="N219" s="7"/>
      <c r="O219" s="38" t="s">
        <v>54</v>
      </c>
      <c r="P219" s="7"/>
      <c r="Q219" s="7"/>
      <c r="R219" s="7"/>
      <c r="S219" s="7"/>
      <c r="T219" s="7"/>
      <c r="U219" s="7"/>
      <c r="V219" s="7"/>
      <c r="W219" s="7"/>
      <c r="X219" s="7"/>
      <c r="Y219" s="7"/>
      <c r="Z219" s="7"/>
      <c r="AA219" s="7"/>
      <c r="AB219" s="11"/>
      <c r="AC219" s="11"/>
      <c r="AD219" s="11"/>
      <c r="AE219" s="11"/>
      <c r="AF219" s="11"/>
      <c r="AG219" s="11"/>
      <c r="AH219" s="11"/>
      <c r="AI219" s="11"/>
      <c r="AJ219" s="11"/>
      <c r="AK219" s="11"/>
      <c r="AL219" s="11"/>
    </row>
    <row r="220" spans="1:38" ht="15.75" customHeight="1">
      <c r="A220" s="7" t="s">
        <v>148</v>
      </c>
      <c r="B220" s="7" t="s">
        <v>696</v>
      </c>
      <c r="C220" s="172" t="s">
        <v>697</v>
      </c>
      <c r="D220" s="181" t="s">
        <v>698</v>
      </c>
      <c r="E220" s="157" t="str">
        <f t="shared" si="1"/>
        <v>f_fishing_guard
এই গ্রামে মাছ ধরার কার্যক্রম নিয়ন্ত্রন করার জন্য কোন পাহারাদার/ চৌকিদার আছে কি?</v>
      </c>
      <c r="F220" s="8"/>
      <c r="G220" s="8"/>
      <c r="H220" s="7"/>
      <c r="I220" s="7"/>
      <c r="J220" s="7"/>
      <c r="K220" s="8"/>
      <c r="L220" s="8"/>
      <c r="M220" s="7" t="s">
        <v>699</v>
      </c>
      <c r="N220" s="7"/>
      <c r="O220" s="38" t="s">
        <v>54</v>
      </c>
      <c r="P220" s="7"/>
      <c r="Q220" s="7"/>
      <c r="R220" s="7"/>
      <c r="S220" s="7"/>
      <c r="T220" s="7"/>
      <c r="U220" s="7"/>
      <c r="V220" s="7"/>
      <c r="W220" s="7"/>
      <c r="X220" s="7"/>
      <c r="Y220" s="7"/>
      <c r="Z220" s="7"/>
      <c r="AA220" s="7"/>
      <c r="AB220" s="11"/>
      <c r="AC220" s="11"/>
      <c r="AD220" s="11"/>
      <c r="AE220" s="11"/>
      <c r="AF220" s="11"/>
      <c r="AG220" s="11"/>
      <c r="AH220" s="11"/>
      <c r="AI220" s="11"/>
      <c r="AJ220" s="11"/>
      <c r="AK220" s="11"/>
      <c r="AL220" s="11"/>
    </row>
    <row r="221" spans="1:38" ht="15.75" customHeight="1">
      <c r="A221" s="7" t="s">
        <v>700</v>
      </c>
      <c r="B221" s="7" t="s">
        <v>701</v>
      </c>
      <c r="C221" s="173" t="s">
        <v>702</v>
      </c>
      <c r="D221" s="10" t="s">
        <v>703</v>
      </c>
      <c r="E221" s="157" t="str">
        <f t="shared" si="1"/>
        <v>f_sanctuary_dist
নিকটতম মৎস্য অভয়াশ্রম দূরত্ব (যা মাছ ধরার নিষেধাজ্ঞা দ্বারা প্রভাবিত হয়) কত? (meters)</v>
      </c>
      <c r="F221" s="8"/>
      <c r="G221" s="8"/>
      <c r="H221" s="7"/>
      <c r="I221" s="7"/>
      <c r="J221" s="71" t="s">
        <v>128</v>
      </c>
      <c r="K221" s="135" t="s">
        <v>241</v>
      </c>
      <c r="L221" s="72" t="s">
        <v>129</v>
      </c>
      <c r="M221" s="7"/>
      <c r="N221" s="7"/>
      <c r="O221" s="38" t="s">
        <v>54</v>
      </c>
      <c r="P221" s="7"/>
      <c r="Q221" s="7"/>
      <c r="R221" s="7"/>
      <c r="S221" s="7"/>
      <c r="T221" s="7"/>
      <c r="U221" s="7"/>
      <c r="V221" s="7"/>
      <c r="W221" s="7"/>
      <c r="X221" s="7"/>
      <c r="Y221" s="7"/>
      <c r="Z221" s="7"/>
      <c r="AA221" s="7"/>
      <c r="AB221" s="11"/>
      <c r="AC221" s="11"/>
      <c r="AD221" s="11"/>
      <c r="AE221" s="11"/>
      <c r="AF221" s="11"/>
      <c r="AG221" s="11"/>
      <c r="AH221" s="11"/>
      <c r="AI221" s="11"/>
      <c r="AJ221" s="11"/>
      <c r="AK221" s="11"/>
      <c r="AL221" s="11"/>
    </row>
    <row r="222" spans="1:38" ht="15.75" customHeight="1">
      <c r="A222" s="7" t="s">
        <v>148</v>
      </c>
      <c r="B222" s="7" t="s">
        <v>704</v>
      </c>
      <c r="C222" s="173" t="s">
        <v>705</v>
      </c>
      <c r="D222" s="201" t="s">
        <v>706</v>
      </c>
      <c r="E222" s="157" t="str">
        <f t="shared" si="1"/>
        <v>f_ban_aware
এই গ্রামের মানুষ  কি মাছ ধরার উপর নিষেধাজ্ঞা সম্পর্কে জানেন?</v>
      </c>
      <c r="F222" s="8"/>
      <c r="G222" s="8"/>
      <c r="H222" s="7"/>
      <c r="I222" s="7"/>
      <c r="J222" s="7"/>
      <c r="K222" s="8"/>
      <c r="L222" s="8"/>
      <c r="M222" s="7"/>
      <c r="N222" s="7"/>
      <c r="O222" s="38" t="s">
        <v>54</v>
      </c>
      <c r="P222" s="7"/>
      <c r="Q222" s="7"/>
      <c r="R222" s="7"/>
      <c r="S222" s="7"/>
      <c r="T222" s="7"/>
      <c r="U222" s="7"/>
      <c r="V222" s="7"/>
      <c r="W222" s="7"/>
      <c r="X222" s="7"/>
      <c r="Y222" s="7"/>
      <c r="Z222" s="7"/>
      <c r="AA222" s="7"/>
      <c r="AB222" s="11"/>
      <c r="AC222" s="11"/>
      <c r="AD222" s="11"/>
      <c r="AE222" s="11"/>
      <c r="AF222" s="11"/>
      <c r="AG222" s="11"/>
      <c r="AH222" s="11"/>
      <c r="AI222" s="11"/>
      <c r="AJ222" s="11"/>
      <c r="AK222" s="11"/>
      <c r="AL222" s="11"/>
    </row>
    <row r="223" spans="1:38" ht="15.75" customHeight="1">
      <c r="A223" s="7" t="s">
        <v>707</v>
      </c>
      <c r="B223" s="7" t="s">
        <v>708</v>
      </c>
      <c r="C223" s="173" t="s">
        <v>709</v>
      </c>
      <c r="D223" s="192" t="s">
        <v>710</v>
      </c>
      <c r="E223" s="157" t="str">
        <f t="shared" si="1"/>
        <v>f_fish_ban
তারা মাছ ধরার উপর কোন নিষেধাজ্ঞা সম্পর্কে জানেন?</v>
      </c>
      <c r="F223" s="207" t="s">
        <v>711</v>
      </c>
      <c r="G223" s="208" t="s">
        <v>712</v>
      </c>
      <c r="H223" s="7"/>
      <c r="I223" s="7"/>
      <c r="J223" s="7"/>
      <c r="K223" s="8"/>
      <c r="L223" s="8"/>
      <c r="M223" s="91" t="s">
        <v>713</v>
      </c>
      <c r="N223" s="7"/>
      <c r="O223" s="38" t="s">
        <v>54</v>
      </c>
      <c r="P223" s="7"/>
      <c r="Q223" s="7"/>
      <c r="R223" s="7"/>
      <c r="S223" s="7"/>
      <c r="T223" s="7"/>
      <c r="U223" s="7"/>
      <c r="V223" s="7"/>
      <c r="W223" s="7"/>
      <c r="X223" s="7"/>
      <c r="Y223" s="7"/>
      <c r="Z223" s="7"/>
      <c r="AA223" s="7"/>
      <c r="AB223" s="11"/>
      <c r="AC223" s="11"/>
      <c r="AD223" s="11"/>
      <c r="AE223" s="11"/>
      <c r="AF223" s="11"/>
      <c r="AG223" s="11"/>
      <c r="AH223" s="11"/>
      <c r="AI223" s="11"/>
      <c r="AJ223" s="11"/>
      <c r="AK223" s="11"/>
      <c r="AL223" s="11"/>
    </row>
    <row r="224" spans="1:38" ht="15.75" customHeight="1">
      <c r="A224" s="175" t="s">
        <v>144</v>
      </c>
      <c r="B224" s="176" t="s">
        <v>714</v>
      </c>
      <c r="C224" s="177" t="s">
        <v>167</v>
      </c>
      <c r="D224" s="95" t="s">
        <v>168</v>
      </c>
      <c r="E224" s="191" t="str">
        <f t="shared" si="1"/>
        <v>f_fish_ban_oth
অন্যান্য(উল্লেখ করুন)</v>
      </c>
      <c r="F224" s="178"/>
      <c r="G224" s="179"/>
      <c r="H224" s="180"/>
      <c r="I224" s="179"/>
      <c r="J224" s="180"/>
      <c r="K224" s="180"/>
      <c r="L224" s="180"/>
      <c r="M224" s="91" t="s">
        <v>715</v>
      </c>
      <c r="N224" s="180"/>
      <c r="O224" s="38" t="s">
        <v>54</v>
      </c>
      <c r="P224" s="180"/>
      <c r="Q224" s="180"/>
      <c r="R224" s="180"/>
      <c r="S224" s="180"/>
      <c r="T224" s="180"/>
      <c r="U224" s="180"/>
      <c r="V224" s="180"/>
      <c r="W224" s="180"/>
      <c r="X224" s="180"/>
      <c r="Y224" s="180"/>
      <c r="Z224" s="180"/>
      <c r="AA224" s="180"/>
      <c r="AB224" s="22"/>
      <c r="AC224" s="22"/>
      <c r="AD224" s="22"/>
      <c r="AE224" s="22"/>
      <c r="AF224" s="22"/>
      <c r="AG224" s="22"/>
      <c r="AH224" s="22"/>
      <c r="AI224" s="22"/>
      <c r="AJ224" s="22"/>
      <c r="AK224" s="22"/>
      <c r="AL224" s="22"/>
    </row>
    <row r="225" spans="1:38" ht="15.75" customHeight="1">
      <c r="A225" s="7" t="s">
        <v>148</v>
      </c>
      <c r="B225" s="7" t="s">
        <v>716</v>
      </c>
      <c r="C225" s="173" t="s">
        <v>717</v>
      </c>
      <c r="D225" s="10" t="s">
        <v>718</v>
      </c>
      <c r="E225" s="157" t="str">
        <f t="shared" si="1"/>
        <v>f_fishban_impact
মাছ ধরার উপর নিষেধাজ্ঞা জনিত কারনে এলাকা/কমিউনিটির লোকজন প্রভাবিত (ক্ষতিগ্রস্ত) হয় কি?</v>
      </c>
      <c r="F225" s="209" t="s">
        <v>719</v>
      </c>
      <c r="G225" s="208" t="s">
        <v>720</v>
      </c>
      <c r="H225" s="7"/>
      <c r="I225" s="7"/>
      <c r="J225" s="7"/>
      <c r="K225" s="8"/>
      <c r="L225" s="8"/>
      <c r="M225" s="91" t="s">
        <v>713</v>
      </c>
      <c r="N225" s="7"/>
      <c r="O225" s="38" t="s">
        <v>54</v>
      </c>
      <c r="P225" s="7"/>
      <c r="Q225" s="7"/>
      <c r="R225" s="7"/>
      <c r="S225" s="7"/>
      <c r="T225" s="7"/>
      <c r="U225" s="7"/>
      <c r="V225" s="7"/>
      <c r="W225" s="7"/>
      <c r="X225" s="7"/>
      <c r="Y225" s="7"/>
      <c r="Z225" s="7"/>
      <c r="AA225" s="7"/>
      <c r="AB225" s="11"/>
      <c r="AC225" s="11"/>
      <c r="AD225" s="11"/>
      <c r="AE225" s="11"/>
      <c r="AF225" s="11"/>
      <c r="AG225" s="11"/>
      <c r="AH225" s="11"/>
      <c r="AI225" s="11"/>
      <c r="AJ225" s="11"/>
      <c r="AK225" s="11"/>
      <c r="AL225" s="11"/>
    </row>
    <row r="226" spans="1:38" ht="15.75" customHeight="1">
      <c r="A226" s="7" t="s">
        <v>148</v>
      </c>
      <c r="B226" s="7" t="s">
        <v>721</v>
      </c>
      <c r="C226" s="173" t="s">
        <v>722</v>
      </c>
      <c r="D226" s="10" t="s">
        <v>723</v>
      </c>
      <c r="E226" s="157" t="str">
        <f t="shared" si="1"/>
        <v>f_fish_sanct_rule
মাছের অভয়াশ্রম  সংক্রান্ত নিয়ম সম্পর্কে আপনি জানেন কি?</v>
      </c>
      <c r="F226" s="8" t="s">
        <v>724</v>
      </c>
      <c r="G226" s="210" t="s">
        <v>725</v>
      </c>
      <c r="H226" s="7"/>
      <c r="I226" s="7"/>
      <c r="J226" s="7"/>
      <c r="K226" s="8"/>
      <c r="L226" s="8"/>
      <c r="M226" s="7"/>
      <c r="N226" s="7"/>
      <c r="O226" s="38" t="s">
        <v>54</v>
      </c>
      <c r="P226" s="7"/>
      <c r="Q226" s="7"/>
      <c r="R226" s="7"/>
      <c r="S226" s="7"/>
      <c r="T226" s="7"/>
      <c r="U226" s="7"/>
      <c r="V226" s="7"/>
      <c r="W226" s="7"/>
      <c r="X226" s="7"/>
      <c r="Y226" s="7"/>
      <c r="Z226" s="7"/>
      <c r="AA226" s="7"/>
      <c r="AB226" s="11"/>
      <c r="AC226" s="11"/>
      <c r="AD226" s="11"/>
      <c r="AE226" s="11"/>
      <c r="AF226" s="11"/>
      <c r="AG226" s="11"/>
      <c r="AH226" s="11"/>
      <c r="AI226" s="11"/>
      <c r="AJ226" s="11"/>
      <c r="AK226" s="11"/>
      <c r="AL226" s="11"/>
    </row>
    <row r="227" spans="1:38" ht="15.75" customHeight="1">
      <c r="A227" s="7" t="s">
        <v>726</v>
      </c>
      <c r="B227" s="7" t="s">
        <v>727</v>
      </c>
      <c r="C227" s="173" t="s">
        <v>1623</v>
      </c>
      <c r="D227" s="192" t="s">
        <v>728</v>
      </c>
      <c r="E227" s="157" t="str">
        <f t="shared" si="1"/>
        <v>f_net_hole_size
আপনি মাছ ধরার যে জাল ব্যবহার করেন বা আপনার এলাকায় যে জাল ব্যবহার করা হয় তার ফাঁস এর দৈর্ঘ্য কতো?</v>
      </c>
      <c r="F227" s="8"/>
      <c r="G227" s="8"/>
      <c r="H227" s="7"/>
      <c r="I227" s="7"/>
      <c r="J227" s="7"/>
      <c r="K227" s="8"/>
      <c r="L227" s="211"/>
      <c r="M227" s="91" t="s">
        <v>729</v>
      </c>
      <c r="N227" s="7"/>
      <c r="O227" s="38" t="s">
        <v>54</v>
      </c>
      <c r="P227" s="7"/>
      <c r="Q227" s="7"/>
      <c r="R227" s="7"/>
      <c r="S227" s="7"/>
      <c r="T227" s="7"/>
      <c r="U227" s="7"/>
      <c r="V227" s="7"/>
      <c r="W227" s="7"/>
      <c r="X227" s="7"/>
      <c r="Y227" s="7"/>
      <c r="Z227" s="7"/>
      <c r="AA227" s="7"/>
      <c r="AB227" s="11"/>
      <c r="AC227" s="11"/>
      <c r="AD227" s="11"/>
      <c r="AE227" s="11"/>
      <c r="AF227" s="11"/>
      <c r="AG227" s="11"/>
      <c r="AH227" s="11"/>
      <c r="AI227" s="11"/>
      <c r="AJ227" s="11"/>
      <c r="AK227" s="11"/>
      <c r="AL227" s="11"/>
    </row>
    <row r="228" spans="1:38" ht="15.75" customHeight="1">
      <c r="A228" s="7" t="s">
        <v>148</v>
      </c>
      <c r="B228" s="7" t="s">
        <v>730</v>
      </c>
      <c r="C228" s="173" t="s">
        <v>731</v>
      </c>
      <c r="D228" s="201" t="s">
        <v>732</v>
      </c>
      <c r="E228" s="157" t="str">
        <f t="shared" si="1"/>
        <v>f_part_iga
গ্রামের কেউ কি বিকল্প আয়-মূলক (জীবন- জীবিকা ধারনেরর জন্য মূল কাজের পাশাপাশি ভিন্ন কোন উপায়ে আয় হয় এমন) কার্যক্রমে অংশগ্রহণের জন্য প্রণোদনা পেয়েছে?</v>
      </c>
      <c r="F228" s="8"/>
      <c r="G228" s="8"/>
      <c r="H228" s="7"/>
      <c r="I228" s="7"/>
      <c r="J228" s="7"/>
      <c r="K228" s="8"/>
      <c r="L228" s="8"/>
      <c r="M228" s="7"/>
      <c r="N228" s="7"/>
      <c r="O228" s="38" t="s">
        <v>54</v>
      </c>
      <c r="P228" s="7"/>
      <c r="Q228" s="7"/>
      <c r="R228" s="7"/>
      <c r="S228" s="7"/>
      <c r="T228" s="7"/>
      <c r="U228" s="7"/>
      <c r="V228" s="7"/>
      <c r="W228" s="7"/>
      <c r="X228" s="7"/>
      <c r="Y228" s="7"/>
      <c r="Z228" s="7"/>
      <c r="AA228" s="7"/>
      <c r="AB228" s="11"/>
      <c r="AC228" s="11"/>
      <c r="AD228" s="11"/>
      <c r="AE228" s="11"/>
      <c r="AF228" s="11"/>
      <c r="AG228" s="11"/>
      <c r="AH228" s="11"/>
      <c r="AI228" s="11"/>
      <c r="AJ228" s="11"/>
      <c r="AK228" s="11"/>
      <c r="AL228" s="11"/>
    </row>
    <row r="229" spans="1:38" ht="15.75" customHeight="1">
      <c r="A229" s="7" t="s">
        <v>148</v>
      </c>
      <c r="B229" s="7" t="s">
        <v>733</v>
      </c>
      <c r="C229" s="173" t="s">
        <v>734</v>
      </c>
      <c r="D229" s="203" t="s">
        <v>735</v>
      </c>
      <c r="E229" s="157" t="str">
        <f t="shared" si="1"/>
        <v>f_part_eco
আপনি ইকো–ফিস প্রোগ্রাম সম্পর্কে শুনেছেন বা অংশগ্রহণ করেছেন কি?</v>
      </c>
      <c r="F229" s="86"/>
      <c r="G229" s="8"/>
      <c r="H229" s="7"/>
      <c r="I229" s="7"/>
      <c r="J229" s="7"/>
      <c r="K229" s="8"/>
      <c r="L229" s="8"/>
      <c r="M229" s="7"/>
      <c r="N229" s="7"/>
      <c r="O229" s="38" t="s">
        <v>54</v>
      </c>
      <c r="P229" s="7"/>
      <c r="Q229" s="7"/>
      <c r="R229" s="7"/>
      <c r="S229" s="7"/>
      <c r="T229" s="7"/>
      <c r="U229" s="7"/>
      <c r="V229" s="7"/>
      <c r="W229" s="7"/>
      <c r="X229" s="7"/>
      <c r="Y229" s="7"/>
      <c r="Z229" s="7"/>
      <c r="AA229" s="7"/>
      <c r="AB229" s="11"/>
      <c r="AC229" s="11"/>
      <c r="AD229" s="11"/>
      <c r="AE229" s="11"/>
      <c r="AF229" s="11"/>
      <c r="AG229" s="11"/>
      <c r="AH229" s="11"/>
      <c r="AI229" s="11"/>
      <c r="AJ229" s="11"/>
      <c r="AK229" s="11"/>
      <c r="AL229" s="11"/>
    </row>
    <row r="230" spans="1:38" ht="15.75" customHeight="1">
      <c r="A230" s="7" t="s">
        <v>148</v>
      </c>
      <c r="B230" s="7" t="s">
        <v>736</v>
      </c>
      <c r="C230" s="173" t="s">
        <v>737</v>
      </c>
      <c r="D230" s="203" t="s">
        <v>738</v>
      </c>
      <c r="E230" s="157" t="str">
        <f t="shared" si="1"/>
        <v>f_ban_compensate
মাছ ধরার উপর নিষেধাজ্ঞার ফলে জীবিকা প্রভাবিত হওয়ার কারনে গ্রামের কেউ কোন আর্থিক বা দ্রব্যে ক্ষতিপূরণ পেয়েছেন কি?</v>
      </c>
      <c r="F230" s="86"/>
      <c r="G230" s="8"/>
      <c r="H230" s="7"/>
      <c r="I230" s="7"/>
      <c r="J230" s="7"/>
      <c r="K230" s="8"/>
      <c r="L230" s="8"/>
      <c r="M230" s="7"/>
      <c r="N230" s="7"/>
      <c r="O230" s="38" t="s">
        <v>54</v>
      </c>
      <c r="P230" s="7"/>
      <c r="Q230" s="7"/>
      <c r="R230" s="7"/>
      <c r="S230" s="7"/>
      <c r="T230" s="7"/>
      <c r="U230" s="7"/>
      <c r="V230" s="7"/>
      <c r="W230" s="7"/>
      <c r="X230" s="7"/>
      <c r="Y230" s="7"/>
      <c r="Z230" s="7"/>
      <c r="AA230" s="7"/>
      <c r="AB230" s="11"/>
      <c r="AC230" s="11"/>
      <c r="AD230" s="11"/>
      <c r="AE230" s="11"/>
      <c r="AF230" s="11"/>
      <c r="AG230" s="11"/>
      <c r="AH230" s="11"/>
      <c r="AI230" s="11"/>
      <c r="AJ230" s="11"/>
      <c r="AK230" s="11"/>
      <c r="AL230" s="11"/>
    </row>
    <row r="231" spans="1:38" ht="25.5" customHeight="1">
      <c r="A231" s="7" t="s">
        <v>148</v>
      </c>
      <c r="B231" s="8" t="s">
        <v>739</v>
      </c>
      <c r="C231" s="173" t="s">
        <v>740</v>
      </c>
      <c r="D231" s="205" t="s">
        <v>741</v>
      </c>
      <c r="E231" s="157" t="str">
        <f t="shared" si="1"/>
        <v>f_part_co_manage
গ্রামের কেউ কি মৎস্য আহরণের/মাছ ধরার সহ-ব্যবস্থাপনায় অংশগ্রহণ করে?</v>
      </c>
      <c r="F231" s="86"/>
      <c r="G231" s="8"/>
      <c r="H231" s="8"/>
      <c r="I231" s="7"/>
      <c r="J231" s="8"/>
      <c r="K231" s="8"/>
      <c r="L231" s="8"/>
      <c r="M231" s="7" t="s">
        <v>699</v>
      </c>
      <c r="N231" s="8"/>
      <c r="O231" s="38" t="s">
        <v>54</v>
      </c>
      <c r="P231" s="8"/>
      <c r="Q231" s="8"/>
      <c r="R231" s="8"/>
      <c r="S231" s="8"/>
      <c r="T231" s="8"/>
      <c r="U231" s="8"/>
      <c r="V231" s="8"/>
      <c r="W231" s="8"/>
      <c r="X231" s="8"/>
      <c r="Y231" s="8"/>
      <c r="Z231" s="8"/>
      <c r="AA231" s="8"/>
      <c r="AB231" s="11"/>
      <c r="AC231" s="11"/>
      <c r="AD231" s="11"/>
      <c r="AE231" s="11"/>
      <c r="AF231" s="11"/>
      <c r="AG231" s="11"/>
      <c r="AH231" s="11"/>
      <c r="AI231" s="11"/>
      <c r="AJ231" s="11"/>
      <c r="AK231" s="11"/>
      <c r="AL231" s="11"/>
    </row>
    <row r="232" spans="1:38" ht="15.75" customHeight="1">
      <c r="A232" s="7" t="s">
        <v>390</v>
      </c>
      <c r="B232" s="7" t="s">
        <v>687</v>
      </c>
      <c r="C232" s="9" t="s">
        <v>688</v>
      </c>
      <c r="D232" s="10"/>
      <c r="E232" s="157" t="str">
        <f t="shared" si="1"/>
        <v xml:space="preserve">mod_f
</v>
      </c>
      <c r="F232" s="8"/>
      <c r="G232" s="8"/>
      <c r="H232" s="7"/>
      <c r="I232" s="7"/>
      <c r="J232" s="7"/>
      <c r="K232" s="8"/>
      <c r="L232" s="8"/>
      <c r="M232" s="7"/>
      <c r="N232" s="7"/>
      <c r="O232" s="7"/>
      <c r="P232" s="7"/>
      <c r="Q232" s="7"/>
      <c r="R232" s="7"/>
      <c r="S232" s="7"/>
      <c r="T232" s="7"/>
      <c r="U232" s="7"/>
      <c r="V232" s="7"/>
      <c r="W232" s="7"/>
      <c r="X232" s="7"/>
      <c r="Y232" s="7"/>
      <c r="Z232" s="7"/>
      <c r="AA232" s="7"/>
      <c r="AB232" s="11"/>
      <c r="AC232" s="11"/>
      <c r="AD232" s="11"/>
      <c r="AE232" s="11"/>
      <c r="AF232" s="11"/>
      <c r="AG232" s="11"/>
      <c r="AH232" s="11"/>
      <c r="AI232" s="11"/>
      <c r="AJ232" s="11"/>
      <c r="AK232" s="11"/>
      <c r="AL232" s="11"/>
    </row>
    <row r="233" spans="1:38" ht="15.75" customHeight="1">
      <c r="A233" s="7" t="s">
        <v>218</v>
      </c>
      <c r="B233" s="7" t="s">
        <v>742</v>
      </c>
      <c r="C233" s="9" t="s">
        <v>743</v>
      </c>
      <c r="D233" s="10" t="s">
        <v>744</v>
      </c>
      <c r="E233" s="157" t="str">
        <f t="shared" si="1"/>
        <v>mod_g1
Module G1: কমিউনিটিতে উদ্ভাবনের মূল্য</v>
      </c>
      <c r="F233" s="8"/>
      <c r="G233" s="8"/>
      <c r="H233" s="7"/>
      <c r="I233" s="7"/>
      <c r="J233" s="8"/>
      <c r="K233" s="8"/>
      <c r="L233" s="8"/>
      <c r="M233" s="8"/>
      <c r="N233" s="7"/>
      <c r="O233" s="8"/>
      <c r="P233" s="7"/>
      <c r="Q233" s="7"/>
      <c r="R233" s="7"/>
      <c r="S233" s="7"/>
      <c r="T233" s="7"/>
      <c r="U233" s="7"/>
      <c r="V233" s="7"/>
      <c r="W233" s="7"/>
      <c r="X233" s="7"/>
      <c r="Y233" s="7"/>
      <c r="Z233" s="7"/>
      <c r="AA233" s="7"/>
      <c r="AB233" s="11"/>
      <c r="AC233" s="11"/>
      <c r="AD233" s="11"/>
      <c r="AE233" s="11"/>
      <c r="AF233" s="11"/>
      <c r="AG233" s="11"/>
      <c r="AH233" s="11"/>
      <c r="AI233" s="11"/>
      <c r="AJ233" s="11"/>
      <c r="AK233" s="11"/>
      <c r="AL233" s="11"/>
    </row>
    <row r="234" spans="1:38" ht="15.75" customHeight="1">
      <c r="A234" s="7" t="s">
        <v>148</v>
      </c>
      <c r="B234" s="7" t="s">
        <v>745</v>
      </c>
      <c r="C234" s="172" t="s">
        <v>1621</v>
      </c>
      <c r="D234" s="181" t="s">
        <v>746</v>
      </c>
      <c r="E234" s="157" t="str">
        <f t="shared" si="1"/>
        <v>g1hear_salttol
আপনি লবণ সহিষ্ণু ধানের জাত সম্পর্কে শুনেছেন কি?</v>
      </c>
      <c r="F234" s="8"/>
      <c r="G234" s="8"/>
      <c r="H234" s="7"/>
      <c r="I234" s="7"/>
      <c r="J234" s="8"/>
      <c r="K234" s="8"/>
      <c r="L234" s="8"/>
      <c r="M234" s="8"/>
      <c r="N234" s="7"/>
      <c r="O234" s="38" t="s">
        <v>54</v>
      </c>
      <c r="P234" s="7"/>
      <c r="Q234" s="7"/>
      <c r="R234" s="7"/>
      <c r="S234" s="7"/>
      <c r="T234" s="7"/>
      <c r="U234" s="7"/>
      <c r="V234" s="7"/>
      <c r="W234" s="7"/>
      <c r="X234" s="7"/>
      <c r="Y234" s="7"/>
      <c r="Z234" s="7"/>
      <c r="AA234" s="7"/>
      <c r="AB234" s="11"/>
      <c r="AC234" s="11"/>
      <c r="AD234" s="11"/>
      <c r="AE234" s="11"/>
      <c r="AF234" s="11"/>
      <c r="AG234" s="11"/>
      <c r="AH234" s="11"/>
      <c r="AI234" s="11"/>
      <c r="AJ234" s="11"/>
      <c r="AK234" s="11"/>
      <c r="AL234" s="11"/>
    </row>
    <row r="235" spans="1:38" ht="15.75" customHeight="1">
      <c r="A235" s="7" t="s">
        <v>148</v>
      </c>
      <c r="B235" s="7" t="s">
        <v>747</v>
      </c>
      <c r="C235" s="173" t="s">
        <v>748</v>
      </c>
      <c r="D235" s="212" t="s">
        <v>749</v>
      </c>
      <c r="E235" s="157" t="str">
        <f t="shared" si="1"/>
        <v>g1use_salttol
আপনি বা আপনার পরিচিত এই গ্রামের  কেউ কি লবণ সহিষ্ণু ধানের জাত চাষ করেছেন?</v>
      </c>
      <c r="F235" s="8"/>
      <c r="G235" s="8"/>
      <c r="H235" s="7"/>
      <c r="I235" s="7"/>
      <c r="J235" s="8"/>
      <c r="K235" s="8"/>
      <c r="L235" s="8"/>
      <c r="M235" s="91" t="s">
        <v>750</v>
      </c>
      <c r="N235" s="7"/>
      <c r="O235" s="38" t="s">
        <v>54</v>
      </c>
      <c r="P235" s="7"/>
      <c r="Q235" s="7"/>
      <c r="R235" s="7"/>
      <c r="S235" s="7"/>
      <c r="T235" s="7"/>
      <c r="U235" s="7"/>
      <c r="V235" s="7"/>
      <c r="W235" s="7"/>
      <c r="X235" s="7"/>
      <c r="Y235" s="7"/>
      <c r="Z235" s="7"/>
      <c r="AA235" s="7"/>
      <c r="AB235" s="11"/>
      <c r="AC235" s="11"/>
      <c r="AD235" s="11"/>
      <c r="AE235" s="11"/>
      <c r="AF235" s="11"/>
      <c r="AG235" s="11"/>
      <c r="AH235" s="11"/>
      <c r="AI235" s="11"/>
      <c r="AJ235" s="11"/>
      <c r="AK235" s="11"/>
      <c r="AL235" s="11"/>
    </row>
    <row r="236" spans="1:38" ht="15.75" customHeight="1">
      <c r="A236" s="7" t="s">
        <v>751</v>
      </c>
      <c r="B236" s="7" t="s">
        <v>752</v>
      </c>
      <c r="C236" s="173" t="s">
        <v>753</v>
      </c>
      <c r="D236" s="213" t="s">
        <v>754</v>
      </c>
      <c r="E236" s="157" t="str">
        <f t="shared" si="1"/>
        <v>g1change_salt
এই নতুন জাতের কারণে ফলন কীভাবে পরিবর্তিত হয়/হয়েছে?</v>
      </c>
      <c r="F236" s="8"/>
      <c r="G236" s="8"/>
      <c r="H236" s="7"/>
      <c r="I236" s="7"/>
      <c r="J236" s="8"/>
      <c r="K236" s="8"/>
      <c r="L236" s="8"/>
      <c r="M236" s="91" t="s">
        <v>755</v>
      </c>
      <c r="N236" s="7"/>
      <c r="O236" s="38" t="s">
        <v>54</v>
      </c>
      <c r="P236" s="7"/>
      <c r="Q236" s="7"/>
      <c r="R236" s="7"/>
      <c r="S236" s="7"/>
      <c r="T236" s="7"/>
      <c r="U236" s="7"/>
      <c r="V236" s="7"/>
      <c r="W236" s="7"/>
      <c r="X236" s="7"/>
      <c r="Y236" s="7"/>
      <c r="Z236" s="7"/>
      <c r="AA236" s="7"/>
      <c r="AB236" s="11"/>
      <c r="AC236" s="11"/>
      <c r="AD236" s="11"/>
      <c r="AE236" s="11"/>
      <c r="AF236" s="11"/>
      <c r="AG236" s="11"/>
      <c r="AH236" s="11"/>
      <c r="AI236" s="11"/>
      <c r="AJ236" s="11"/>
      <c r="AK236" s="11"/>
      <c r="AL236" s="11"/>
    </row>
    <row r="237" spans="1:38" ht="15.75" customHeight="1">
      <c r="A237" s="7" t="s">
        <v>148</v>
      </c>
      <c r="B237" s="7" t="s">
        <v>756</v>
      </c>
      <c r="C237" s="173" t="s">
        <v>1622</v>
      </c>
      <c r="D237" s="203" t="s">
        <v>757</v>
      </c>
      <c r="E237" s="157" t="str">
        <f t="shared" si="1"/>
        <v>g1hear_drou_tol
আপনি খরা সহিষ্ণু ধানের জাত সম্পর্কে শুনেছেন কি?</v>
      </c>
      <c r="F237" s="8"/>
      <c r="G237" s="8"/>
      <c r="H237" s="7"/>
      <c r="I237" s="7"/>
      <c r="J237" s="8"/>
      <c r="K237" s="8"/>
      <c r="L237" s="8"/>
      <c r="M237" s="8"/>
      <c r="N237" s="7"/>
      <c r="O237" s="38" t="s">
        <v>54</v>
      </c>
      <c r="P237" s="7"/>
      <c r="Q237" s="7"/>
      <c r="R237" s="7"/>
      <c r="S237" s="7"/>
      <c r="T237" s="7"/>
      <c r="U237" s="7"/>
      <c r="V237" s="7"/>
      <c r="W237" s="7"/>
      <c r="X237" s="7"/>
      <c r="Y237" s="7"/>
      <c r="Z237" s="7"/>
      <c r="AA237" s="7"/>
      <c r="AB237" s="11"/>
      <c r="AC237" s="11"/>
      <c r="AD237" s="11"/>
      <c r="AE237" s="11"/>
      <c r="AF237" s="11"/>
      <c r="AG237" s="11"/>
      <c r="AH237" s="11"/>
      <c r="AI237" s="11"/>
      <c r="AJ237" s="11"/>
      <c r="AK237" s="11"/>
      <c r="AL237" s="11"/>
    </row>
    <row r="238" spans="1:38" ht="15.75" customHeight="1">
      <c r="A238" s="7" t="s">
        <v>148</v>
      </c>
      <c r="B238" s="7" t="s">
        <v>758</v>
      </c>
      <c r="C238" s="173" t="s">
        <v>759</v>
      </c>
      <c r="D238" s="213" t="s">
        <v>760</v>
      </c>
      <c r="E238" s="157" t="str">
        <f t="shared" si="1"/>
        <v>g1_use_drou_tol
আপনি বা আপনার পরিচিত  এই গ্রামের কেউ কি খরা সহিষ্ণু ধানের জাত চাষ করেছেন?</v>
      </c>
      <c r="F238" s="8"/>
      <c r="G238" s="8"/>
      <c r="H238" s="7"/>
      <c r="I238" s="7"/>
      <c r="J238" s="8"/>
      <c r="K238" s="8"/>
      <c r="L238" s="8"/>
      <c r="M238" s="91" t="s">
        <v>761</v>
      </c>
      <c r="N238" s="7"/>
      <c r="O238" s="38" t="s">
        <v>54</v>
      </c>
      <c r="P238" s="7"/>
      <c r="Q238" s="7"/>
      <c r="R238" s="7"/>
      <c r="S238" s="7"/>
      <c r="T238" s="7"/>
      <c r="U238" s="7"/>
      <c r="V238" s="7"/>
      <c r="W238" s="7"/>
      <c r="X238" s="7"/>
      <c r="Y238" s="7"/>
      <c r="Z238" s="7"/>
      <c r="AA238" s="7"/>
      <c r="AB238" s="11"/>
      <c r="AC238" s="11"/>
      <c r="AD238" s="11"/>
      <c r="AE238" s="11"/>
      <c r="AF238" s="11"/>
      <c r="AG238" s="11"/>
      <c r="AH238" s="11"/>
      <c r="AI238" s="11"/>
      <c r="AJ238" s="11"/>
      <c r="AK238" s="11"/>
      <c r="AL238" s="11"/>
    </row>
    <row r="239" spans="1:38" ht="15.75" customHeight="1">
      <c r="A239" s="7" t="s">
        <v>751</v>
      </c>
      <c r="B239" s="7" t="s">
        <v>762</v>
      </c>
      <c r="C239" s="173" t="s">
        <v>763</v>
      </c>
      <c r="D239" s="213" t="s">
        <v>754</v>
      </c>
      <c r="E239" s="157" t="str">
        <f t="shared" si="1"/>
        <v>g1change_droug
এই নতুন জাতের কারণে ফলন কীভাবে পরিবর্তিত হয়/হয়েছে?</v>
      </c>
      <c r="F239" s="8"/>
      <c r="G239" s="8"/>
      <c r="H239" s="7"/>
      <c r="I239" s="7"/>
      <c r="J239" s="8"/>
      <c r="K239" s="8"/>
      <c r="L239" s="8"/>
      <c r="M239" s="91" t="s">
        <v>764</v>
      </c>
      <c r="N239" s="7"/>
      <c r="O239" s="38" t="s">
        <v>54</v>
      </c>
      <c r="P239" s="7"/>
      <c r="Q239" s="7"/>
      <c r="R239" s="7"/>
      <c r="S239" s="7"/>
      <c r="T239" s="7"/>
      <c r="U239" s="7"/>
      <c r="V239" s="7"/>
      <c r="W239" s="7"/>
      <c r="X239" s="7"/>
      <c r="Y239" s="7"/>
      <c r="Z239" s="7"/>
      <c r="AA239" s="7"/>
      <c r="AB239" s="11"/>
      <c r="AC239" s="11"/>
      <c r="AD239" s="11"/>
      <c r="AE239" s="11"/>
      <c r="AF239" s="11"/>
      <c r="AG239" s="11"/>
      <c r="AH239" s="11"/>
      <c r="AI239" s="11"/>
      <c r="AJ239" s="11"/>
      <c r="AK239" s="11"/>
      <c r="AL239" s="11"/>
    </row>
    <row r="240" spans="1:38" ht="15.75" customHeight="1">
      <c r="A240" s="7" t="s">
        <v>148</v>
      </c>
      <c r="B240" s="7" t="s">
        <v>765</v>
      </c>
      <c r="C240" s="173" t="s">
        <v>766</v>
      </c>
      <c r="D240" s="214" t="s">
        <v>767</v>
      </c>
      <c r="E240" s="157" t="str">
        <f t="shared" si="1"/>
        <v>g1hear_awd
পর্যায়ক্রমে জমিকে ভিজানো এবং শুকানো (AWD) সেচ পদ্ধতি সম্পর্কে আপনি শুনেছেন কি?</v>
      </c>
      <c r="F240" s="8"/>
      <c r="G240" s="8"/>
      <c r="H240" s="7"/>
      <c r="I240" s="7"/>
      <c r="J240" s="8"/>
      <c r="K240" s="8"/>
      <c r="L240" s="8"/>
      <c r="M240" s="8"/>
      <c r="N240" s="7"/>
      <c r="O240" s="38" t="s">
        <v>54</v>
      </c>
      <c r="P240" s="7"/>
      <c r="Q240" s="7"/>
      <c r="R240" s="7"/>
      <c r="S240" s="7"/>
      <c r="T240" s="7"/>
      <c r="U240" s="7"/>
      <c r="V240" s="7"/>
      <c r="W240" s="7"/>
      <c r="X240" s="7"/>
      <c r="Y240" s="7"/>
      <c r="Z240" s="7"/>
      <c r="AA240" s="7"/>
      <c r="AB240" s="11"/>
      <c r="AC240" s="11"/>
      <c r="AD240" s="11"/>
      <c r="AE240" s="11"/>
      <c r="AF240" s="11"/>
      <c r="AG240" s="11"/>
      <c r="AH240" s="11"/>
      <c r="AI240" s="11"/>
      <c r="AJ240" s="11"/>
      <c r="AK240" s="11"/>
      <c r="AL240" s="11"/>
    </row>
    <row r="241" spans="1:38" ht="15.75" customHeight="1">
      <c r="A241" s="7" t="s">
        <v>148</v>
      </c>
      <c r="B241" s="7" t="s">
        <v>768</v>
      </c>
      <c r="C241" s="173" t="s">
        <v>769</v>
      </c>
      <c r="D241" s="204" t="s">
        <v>770</v>
      </c>
      <c r="E241" s="157" t="str">
        <f t="shared" si="1"/>
        <v>g1use_awd
আপনি বা আপনার পরিচিত কেউ কি পর্যায়ক্রমে জমিকে ভিজানো এবং শুকানো (AWD) সেচ পদ্ধতি ব্যবহার করেছেন?</v>
      </c>
      <c r="F241" s="86"/>
      <c r="G241" s="8"/>
      <c r="H241" s="7"/>
      <c r="I241" s="7"/>
      <c r="J241" s="7"/>
      <c r="K241" s="8"/>
      <c r="L241" s="8"/>
      <c r="M241" s="91" t="s">
        <v>771</v>
      </c>
      <c r="N241" s="7"/>
      <c r="O241" s="38" t="s">
        <v>54</v>
      </c>
      <c r="P241" s="7"/>
      <c r="Q241" s="7"/>
      <c r="R241" s="7"/>
      <c r="S241" s="7"/>
      <c r="T241" s="7"/>
      <c r="U241" s="7"/>
      <c r="V241" s="7"/>
      <c r="W241" s="7"/>
      <c r="X241" s="7"/>
      <c r="Y241" s="7"/>
      <c r="Z241" s="7"/>
      <c r="AA241" s="7"/>
      <c r="AB241" s="11"/>
      <c r="AC241" s="11"/>
      <c r="AD241" s="11"/>
      <c r="AE241" s="11"/>
      <c r="AF241" s="11"/>
      <c r="AG241" s="11"/>
      <c r="AH241" s="11"/>
      <c r="AI241" s="11"/>
      <c r="AJ241" s="11"/>
      <c r="AK241" s="11"/>
      <c r="AL241" s="11"/>
    </row>
    <row r="242" spans="1:38" ht="25.5" customHeight="1">
      <c r="A242" s="7" t="s">
        <v>751</v>
      </c>
      <c r="B242" s="8" t="s">
        <v>772</v>
      </c>
      <c r="C242" s="173" t="s">
        <v>763</v>
      </c>
      <c r="D242" s="204" t="s">
        <v>773</v>
      </c>
      <c r="E242" s="157" t="str">
        <f t="shared" si="1"/>
        <v>g1change_awd
এই নতুন (AWD) সেচ পদ্ধতির কারণে ফলন কীভাবে পরিবর্তিত হয়েছে?</v>
      </c>
      <c r="F242" s="86"/>
      <c r="G242" s="8"/>
      <c r="H242" s="8"/>
      <c r="I242" s="7"/>
      <c r="J242" s="8"/>
      <c r="K242" s="8"/>
      <c r="L242" s="8"/>
      <c r="M242" s="91" t="s">
        <v>774</v>
      </c>
      <c r="N242" s="8"/>
      <c r="O242" s="38" t="s">
        <v>54</v>
      </c>
      <c r="P242" s="8"/>
      <c r="Q242" s="8"/>
      <c r="R242" s="8"/>
      <c r="S242" s="8"/>
      <c r="T242" s="8"/>
      <c r="U242" s="8"/>
      <c r="V242" s="8"/>
      <c r="W242" s="8"/>
      <c r="X242" s="8"/>
      <c r="Y242" s="8"/>
      <c r="Z242" s="8"/>
      <c r="AA242" s="8"/>
      <c r="AB242" s="11"/>
      <c r="AC242" s="11"/>
      <c r="AD242" s="11"/>
      <c r="AE242" s="11"/>
      <c r="AF242" s="11"/>
      <c r="AG242" s="11"/>
      <c r="AH242" s="11"/>
      <c r="AI242" s="11"/>
      <c r="AJ242" s="11"/>
      <c r="AK242" s="11"/>
      <c r="AL242" s="11"/>
    </row>
    <row r="243" spans="1:38" ht="25.5" customHeight="1">
      <c r="A243" s="7" t="s">
        <v>751</v>
      </c>
      <c r="B243" s="8" t="s">
        <v>775</v>
      </c>
      <c r="C243" s="173" t="s">
        <v>776</v>
      </c>
      <c r="D243" s="204" t="s">
        <v>777</v>
      </c>
      <c r="E243" s="157" t="str">
        <f t="shared" si="1"/>
        <v>g1changeawd_ener
এটি কীভাবে জমির শক্তি খরচ (Energy consumption) পরিবর্তন করেছে?</v>
      </c>
      <c r="F243" s="86"/>
      <c r="G243" s="8"/>
      <c r="H243" s="8"/>
      <c r="I243" s="7"/>
      <c r="J243" s="8"/>
      <c r="K243" s="8"/>
      <c r="L243" s="8"/>
      <c r="M243" s="91" t="s">
        <v>774</v>
      </c>
      <c r="N243" s="8"/>
      <c r="O243" s="38" t="s">
        <v>54</v>
      </c>
      <c r="P243" s="8"/>
      <c r="Q243" s="8"/>
      <c r="R243" s="8"/>
      <c r="S243" s="8"/>
      <c r="T243" s="8"/>
      <c r="U243" s="8"/>
      <c r="V243" s="8"/>
      <c r="W243" s="8"/>
      <c r="X243" s="8"/>
      <c r="Y243" s="8"/>
      <c r="Z243" s="8"/>
      <c r="AA243" s="8"/>
      <c r="AB243" s="11"/>
      <c r="AC243" s="11"/>
      <c r="AD243" s="11"/>
      <c r="AE243" s="11"/>
      <c r="AF243" s="11"/>
      <c r="AG243" s="11"/>
      <c r="AH243" s="11"/>
      <c r="AI243" s="11"/>
      <c r="AJ243" s="11"/>
      <c r="AK243" s="11"/>
      <c r="AL243" s="11"/>
    </row>
    <row r="244" spans="1:38" ht="25.5" customHeight="1">
      <c r="A244" s="7" t="s">
        <v>148</v>
      </c>
      <c r="B244" s="8" t="s">
        <v>778</v>
      </c>
      <c r="C244" s="173" t="s">
        <v>779</v>
      </c>
      <c r="D244" s="204" t="s">
        <v>780</v>
      </c>
      <c r="E244" s="157" t="str">
        <f t="shared" si="1"/>
        <v>g1hear_mechrental
আপনি কৃষি যন্ত্রপাতি ভাড়া করার সিস্টেমের কথা শুনেছেন কি?</v>
      </c>
      <c r="F244" s="86"/>
      <c r="G244" s="8"/>
      <c r="H244" s="8"/>
      <c r="I244" s="7"/>
      <c r="J244" s="8"/>
      <c r="K244" s="8"/>
      <c r="L244" s="8"/>
      <c r="M244" s="8"/>
      <c r="N244" s="8"/>
      <c r="O244" s="38" t="s">
        <v>54</v>
      </c>
      <c r="P244" s="8"/>
      <c r="Q244" s="8"/>
      <c r="R244" s="8"/>
      <c r="S244" s="8"/>
      <c r="T244" s="8"/>
      <c r="U244" s="8"/>
      <c r="V244" s="8"/>
      <c r="W244" s="8"/>
      <c r="X244" s="8"/>
      <c r="Y244" s="8"/>
      <c r="Z244" s="8"/>
      <c r="AA244" s="8"/>
      <c r="AB244" s="11"/>
      <c r="AC244" s="11"/>
      <c r="AD244" s="11"/>
      <c r="AE244" s="11"/>
      <c r="AF244" s="11"/>
      <c r="AG244" s="11"/>
      <c r="AH244" s="11"/>
      <c r="AI244" s="11"/>
      <c r="AJ244" s="11"/>
      <c r="AK244" s="11"/>
      <c r="AL244" s="11"/>
    </row>
    <row r="245" spans="1:38" ht="25.5" customHeight="1">
      <c r="A245" s="7" t="s">
        <v>148</v>
      </c>
      <c r="B245" s="8" t="s">
        <v>1620</v>
      </c>
      <c r="C245" s="173" t="s">
        <v>781</v>
      </c>
      <c r="D245" s="204" t="s">
        <v>782</v>
      </c>
      <c r="E245" s="157" t="str">
        <f t="shared" si="1"/>
        <v>g1use_mechrental
আপনি বা আপনার পরিচিত কেউ যন্ত্রপাতি ভাড়া পরিষেবা সিস্টেম ব্যবহার করেছেন কি?</v>
      </c>
      <c r="F245" s="86"/>
      <c r="G245" s="8"/>
      <c r="H245" s="8"/>
      <c r="I245" s="7"/>
      <c r="J245" s="8"/>
      <c r="K245" s="8"/>
      <c r="L245" s="8"/>
      <c r="M245" s="91" t="s">
        <v>783</v>
      </c>
      <c r="N245" s="8"/>
      <c r="O245" s="38" t="s">
        <v>54</v>
      </c>
      <c r="P245" s="8"/>
      <c r="Q245" s="8"/>
      <c r="R245" s="8"/>
      <c r="S245" s="8"/>
      <c r="T245" s="8"/>
      <c r="U245" s="8"/>
      <c r="V245" s="8"/>
      <c r="W245" s="8"/>
      <c r="X245" s="8"/>
      <c r="Y245" s="8"/>
      <c r="Z245" s="8"/>
      <c r="AA245" s="8"/>
      <c r="AB245" s="11"/>
      <c r="AC245" s="11"/>
      <c r="AD245" s="11"/>
      <c r="AE245" s="11"/>
      <c r="AF245" s="11"/>
      <c r="AG245" s="11"/>
      <c r="AH245" s="11"/>
      <c r="AI245" s="11"/>
      <c r="AJ245" s="11"/>
      <c r="AK245" s="11"/>
      <c r="AL245" s="11"/>
    </row>
    <row r="246" spans="1:38" ht="25.5" customHeight="1">
      <c r="A246" s="7" t="s">
        <v>751</v>
      </c>
      <c r="B246" s="8" t="s">
        <v>784</v>
      </c>
      <c r="C246" s="173" t="s">
        <v>785</v>
      </c>
      <c r="D246" s="215" t="s">
        <v>786</v>
      </c>
      <c r="E246" s="157" t="str">
        <f t="shared" si="1"/>
        <v>g1change_mech
এটি কীভাবে ফসল উৎপাদনের খরচ পরিবর্তন করেছে?</v>
      </c>
      <c r="F246" s="86"/>
      <c r="G246" s="8"/>
      <c r="H246" s="8"/>
      <c r="I246" s="7"/>
      <c r="J246" s="8"/>
      <c r="K246" s="8"/>
      <c r="L246" s="8"/>
      <c r="M246" s="91" t="s">
        <v>787</v>
      </c>
      <c r="N246" s="8"/>
      <c r="O246" s="38" t="s">
        <v>54</v>
      </c>
      <c r="P246" s="8"/>
      <c r="Q246" s="8"/>
      <c r="R246" s="8"/>
      <c r="S246" s="8"/>
      <c r="T246" s="8"/>
      <c r="U246" s="8"/>
      <c r="V246" s="8"/>
      <c r="W246" s="8"/>
      <c r="X246" s="8"/>
      <c r="Y246" s="8"/>
      <c r="Z246" s="8"/>
      <c r="AA246" s="8"/>
      <c r="AB246" s="11"/>
      <c r="AC246" s="11"/>
      <c r="AD246" s="11"/>
      <c r="AE246" s="11"/>
      <c r="AF246" s="11"/>
      <c r="AG246" s="11"/>
      <c r="AH246" s="11"/>
      <c r="AI246" s="11"/>
      <c r="AJ246" s="11"/>
      <c r="AK246" s="11"/>
      <c r="AL246" s="11"/>
    </row>
    <row r="247" spans="1:38" ht="25.5" customHeight="1">
      <c r="A247" s="7" t="s">
        <v>148</v>
      </c>
      <c r="B247" s="8" t="s">
        <v>788</v>
      </c>
      <c r="C247" s="173" t="s">
        <v>789</v>
      </c>
      <c r="D247" s="214" t="s">
        <v>790</v>
      </c>
      <c r="E247" s="157" t="str">
        <f t="shared" si="1"/>
        <v>g1hear_rohu
আপনি G3 রুই সম্পর্কে শুনেছেন কি?</v>
      </c>
      <c r="F247" s="86"/>
      <c r="G247" s="8"/>
      <c r="H247" s="8"/>
      <c r="I247" s="7"/>
      <c r="J247" s="8"/>
      <c r="K247" s="8"/>
      <c r="L247" s="8"/>
      <c r="M247" s="8"/>
      <c r="N247" s="8"/>
      <c r="O247" s="38" t="s">
        <v>54</v>
      </c>
      <c r="P247" s="8"/>
      <c r="Q247" s="8"/>
      <c r="R247" s="8"/>
      <c r="S247" s="8"/>
      <c r="T247" s="8"/>
      <c r="U247" s="8"/>
      <c r="V247" s="8"/>
      <c r="W247" s="8"/>
      <c r="X247" s="8"/>
      <c r="Y247" s="8"/>
      <c r="Z247" s="8"/>
      <c r="AA247" s="8"/>
      <c r="AB247" s="11"/>
      <c r="AC247" s="11"/>
      <c r="AD247" s="11"/>
      <c r="AE247" s="11"/>
      <c r="AF247" s="11"/>
      <c r="AG247" s="11"/>
      <c r="AH247" s="11"/>
      <c r="AI247" s="11"/>
      <c r="AJ247" s="11"/>
      <c r="AK247" s="11"/>
      <c r="AL247" s="11"/>
    </row>
    <row r="248" spans="1:38" ht="25.5" customHeight="1">
      <c r="A248" s="7" t="s">
        <v>148</v>
      </c>
      <c r="B248" s="8" t="s">
        <v>791</v>
      </c>
      <c r="C248" s="173" t="s">
        <v>792</v>
      </c>
      <c r="D248" s="204" t="s">
        <v>793</v>
      </c>
      <c r="E248" s="157" t="str">
        <f t="shared" si="1"/>
        <v>g1use_rohu
আপনি বা আপনার পরিচিত কেউ কি G3 রুই চাষ করেছেন?</v>
      </c>
      <c r="F248" s="86"/>
      <c r="G248" s="8"/>
      <c r="H248" s="8"/>
      <c r="I248" s="7"/>
      <c r="J248" s="8"/>
      <c r="K248" s="8"/>
      <c r="L248" s="8"/>
      <c r="M248" s="91" t="s">
        <v>794</v>
      </c>
      <c r="N248" s="8"/>
      <c r="O248" s="38" t="s">
        <v>54</v>
      </c>
      <c r="P248" s="8"/>
      <c r="Q248" s="8"/>
      <c r="R248" s="8"/>
      <c r="S248" s="8"/>
      <c r="T248" s="8"/>
      <c r="U248" s="8"/>
      <c r="V248" s="8"/>
      <c r="W248" s="8"/>
      <c r="X248" s="8"/>
      <c r="Y248" s="8"/>
      <c r="Z248" s="8"/>
      <c r="AA248" s="8"/>
      <c r="AB248" s="11"/>
      <c r="AC248" s="11"/>
      <c r="AD248" s="11"/>
      <c r="AE248" s="11"/>
      <c r="AF248" s="11"/>
      <c r="AG248" s="11"/>
      <c r="AH248" s="11"/>
      <c r="AI248" s="11"/>
      <c r="AJ248" s="11"/>
      <c r="AK248" s="11"/>
      <c r="AL248" s="11"/>
    </row>
    <row r="249" spans="1:38" ht="25.5" customHeight="1">
      <c r="A249" s="7" t="s">
        <v>751</v>
      </c>
      <c r="B249" s="8" t="s">
        <v>795</v>
      </c>
      <c r="C249" s="173" t="s">
        <v>796</v>
      </c>
      <c r="D249" s="216" t="s">
        <v>797</v>
      </c>
      <c r="E249" s="157" t="str">
        <f t="shared" si="1"/>
        <v>g1change_rohu
এই নতুন জাতের কারণে রুই মাছের উৎপাদন কীভাবে পরিবর্তিত হয়/হয়েছে?</v>
      </c>
      <c r="F249" s="86"/>
      <c r="G249" s="8"/>
      <c r="H249" s="8"/>
      <c r="I249" s="7"/>
      <c r="J249" s="8"/>
      <c r="K249" s="8"/>
      <c r="L249" s="8"/>
      <c r="M249" s="91" t="s">
        <v>798</v>
      </c>
      <c r="N249" s="8"/>
      <c r="O249" s="38" t="s">
        <v>54</v>
      </c>
      <c r="P249" s="8"/>
      <c r="Q249" s="8"/>
      <c r="R249" s="8"/>
      <c r="S249" s="8"/>
      <c r="T249" s="8"/>
      <c r="U249" s="8"/>
      <c r="V249" s="8"/>
      <c r="W249" s="8"/>
      <c r="X249" s="8"/>
      <c r="Y249" s="8"/>
      <c r="Z249" s="8"/>
      <c r="AA249" s="8"/>
      <c r="AB249" s="11"/>
      <c r="AC249" s="11"/>
      <c r="AD249" s="11"/>
      <c r="AE249" s="11"/>
      <c r="AF249" s="11"/>
      <c r="AG249" s="11"/>
      <c r="AH249" s="11"/>
      <c r="AI249" s="11"/>
      <c r="AJ249" s="11"/>
      <c r="AK249" s="11"/>
      <c r="AL249" s="11"/>
    </row>
    <row r="250" spans="1:38" ht="25.5" customHeight="1">
      <c r="A250" s="7" t="s">
        <v>148</v>
      </c>
      <c r="B250" s="8" t="s">
        <v>799</v>
      </c>
      <c r="C250" s="173" t="s">
        <v>800</v>
      </c>
      <c r="D250" s="214" t="s">
        <v>801</v>
      </c>
      <c r="E250" s="157" t="str">
        <f t="shared" si="1"/>
        <v>g1hear_gift
আপনি GIFT তেলাপিয়া সম্পর্কে শুনেছেন কি?</v>
      </c>
      <c r="F250" s="86"/>
      <c r="G250" s="8"/>
      <c r="H250" s="8"/>
      <c r="I250" s="7"/>
      <c r="J250" s="8"/>
      <c r="K250" s="8"/>
      <c r="L250" s="8"/>
      <c r="M250" s="8"/>
      <c r="N250" s="8"/>
      <c r="O250" s="38" t="s">
        <v>54</v>
      </c>
      <c r="P250" s="8"/>
      <c r="Q250" s="8"/>
      <c r="R250" s="8"/>
      <c r="S250" s="8"/>
      <c r="T250" s="8"/>
      <c r="U250" s="8"/>
      <c r="V250" s="8"/>
      <c r="W250" s="8"/>
      <c r="X250" s="8"/>
      <c r="Y250" s="8"/>
      <c r="Z250" s="8"/>
      <c r="AA250" s="8"/>
      <c r="AB250" s="11"/>
      <c r="AC250" s="11"/>
      <c r="AD250" s="11"/>
      <c r="AE250" s="11"/>
      <c r="AF250" s="11"/>
      <c r="AG250" s="11"/>
      <c r="AH250" s="11"/>
      <c r="AI250" s="11"/>
      <c r="AJ250" s="11"/>
      <c r="AK250" s="11"/>
      <c r="AL250" s="11"/>
    </row>
    <row r="251" spans="1:38" ht="25.5" customHeight="1">
      <c r="A251" s="7" t="s">
        <v>148</v>
      </c>
      <c r="B251" s="8" t="s">
        <v>802</v>
      </c>
      <c r="C251" s="173" t="s">
        <v>803</v>
      </c>
      <c r="D251" s="204" t="s">
        <v>804</v>
      </c>
      <c r="E251" s="157" t="str">
        <f t="shared" si="1"/>
        <v>g1use_gift
আপনি বা আপনার পরিচিত কেউ কি GIFT তেলাপিয়া চাষ করেছেন?</v>
      </c>
      <c r="F251" s="86"/>
      <c r="G251" s="8"/>
      <c r="H251" s="8"/>
      <c r="I251" s="7"/>
      <c r="J251" s="8"/>
      <c r="K251" s="8"/>
      <c r="L251" s="8"/>
      <c r="M251" s="91" t="s">
        <v>805</v>
      </c>
      <c r="N251" s="8"/>
      <c r="O251" s="38" t="s">
        <v>54</v>
      </c>
      <c r="P251" s="8"/>
      <c r="Q251" s="8"/>
      <c r="R251" s="8"/>
      <c r="S251" s="8"/>
      <c r="T251" s="8"/>
      <c r="U251" s="8"/>
      <c r="V251" s="8"/>
      <c r="W251" s="8"/>
      <c r="X251" s="8"/>
      <c r="Y251" s="8"/>
      <c r="Z251" s="8"/>
      <c r="AA251" s="8"/>
      <c r="AB251" s="11"/>
      <c r="AC251" s="11"/>
      <c r="AD251" s="11"/>
      <c r="AE251" s="11"/>
      <c r="AF251" s="11"/>
      <c r="AG251" s="11"/>
      <c r="AH251" s="11"/>
      <c r="AI251" s="11"/>
      <c r="AJ251" s="11"/>
      <c r="AK251" s="11"/>
      <c r="AL251" s="11"/>
    </row>
    <row r="252" spans="1:38" ht="25.5" customHeight="1">
      <c r="A252" s="7" t="s">
        <v>751</v>
      </c>
      <c r="B252" s="8" t="s">
        <v>806</v>
      </c>
      <c r="C252" s="173" t="s">
        <v>796</v>
      </c>
      <c r="D252" s="204" t="s">
        <v>807</v>
      </c>
      <c r="E252" s="157" t="str">
        <f t="shared" si="1"/>
        <v>g1change_gift
এই নতুন জাতের কারণে তেলাপিয়া মাছের উৎপাদন কীভাবে পরিবর্তিত হয়/হয়েছে?</v>
      </c>
      <c r="F252" s="86"/>
      <c r="G252" s="8"/>
      <c r="H252" s="8"/>
      <c r="I252" s="7"/>
      <c r="J252" s="8"/>
      <c r="K252" s="8"/>
      <c r="L252" s="8"/>
      <c r="M252" s="91" t="s">
        <v>808</v>
      </c>
      <c r="N252" s="8"/>
      <c r="O252" s="38" t="s">
        <v>54</v>
      </c>
      <c r="P252" s="8"/>
      <c r="Q252" s="8"/>
      <c r="R252" s="8"/>
      <c r="S252" s="8"/>
      <c r="T252" s="8"/>
      <c r="U252" s="8"/>
      <c r="V252" s="8"/>
      <c r="W252" s="8"/>
      <c r="X252" s="8"/>
      <c r="Y252" s="8"/>
      <c r="Z252" s="8"/>
      <c r="AA252" s="8"/>
      <c r="AB252" s="11"/>
      <c r="AC252" s="11"/>
      <c r="AD252" s="11"/>
      <c r="AE252" s="11"/>
      <c r="AF252" s="11"/>
      <c r="AG252" s="11"/>
      <c r="AH252" s="11"/>
      <c r="AI252" s="11"/>
      <c r="AJ252" s="11"/>
      <c r="AK252" s="11"/>
      <c r="AL252" s="11"/>
    </row>
    <row r="254" spans="1:38" ht="15.75" customHeight="1">
      <c r="A254" s="7" t="s">
        <v>390</v>
      </c>
      <c r="B254" s="7" t="s">
        <v>742</v>
      </c>
      <c r="C254" s="9" t="s">
        <v>743</v>
      </c>
      <c r="D254" s="10"/>
      <c r="E254" s="157" t="str">
        <f t="shared" ref="E254:E281" si="2">B254&amp;"
"&amp;D254</f>
        <v xml:space="preserve">mod_g1
</v>
      </c>
      <c r="F254" s="8"/>
      <c r="G254" s="8"/>
      <c r="H254" s="7"/>
      <c r="I254" s="7"/>
      <c r="J254" s="8"/>
      <c r="K254" s="8"/>
      <c r="L254" s="8"/>
      <c r="M254" s="8"/>
      <c r="N254" s="7"/>
      <c r="O254" s="8"/>
      <c r="P254" s="7"/>
      <c r="Q254" s="7"/>
      <c r="R254" s="7"/>
      <c r="S254" s="7"/>
      <c r="T254" s="7"/>
      <c r="U254" s="7"/>
      <c r="V254" s="7"/>
      <c r="W254" s="7"/>
      <c r="X254" s="7"/>
      <c r="Y254" s="7"/>
      <c r="Z254" s="7"/>
      <c r="AA254" s="7"/>
      <c r="AB254" s="11"/>
      <c r="AC254" s="11"/>
      <c r="AD254" s="11"/>
      <c r="AE254" s="11"/>
      <c r="AF254" s="11"/>
      <c r="AG254" s="11"/>
      <c r="AH254" s="11"/>
      <c r="AI254" s="11"/>
      <c r="AJ254" s="11"/>
      <c r="AK254" s="11"/>
      <c r="AL254" s="11"/>
    </row>
    <row r="255" spans="1:38" ht="25.5" customHeight="1">
      <c r="A255" s="7" t="s">
        <v>218</v>
      </c>
      <c r="B255" s="8" t="s">
        <v>809</v>
      </c>
      <c r="C255" s="9" t="s">
        <v>810</v>
      </c>
      <c r="D255" s="217" t="s">
        <v>811</v>
      </c>
      <c r="E255" s="157" t="str">
        <f t="shared" si="2"/>
        <v>mod_g2
Module G2: সামাজিক নিরাপত্তা কর্মসূচীতে অংশগ্রহন</v>
      </c>
      <c r="F255" s="86"/>
      <c r="G255" s="8"/>
      <c r="H255" s="8"/>
      <c r="I255" s="7"/>
      <c r="J255" s="8"/>
      <c r="K255" s="8"/>
      <c r="L255" s="8"/>
      <c r="M255" s="8"/>
      <c r="N255" s="8"/>
      <c r="O255" s="8"/>
      <c r="P255" s="8"/>
      <c r="Q255" s="8"/>
      <c r="R255" s="8"/>
      <c r="S255" s="8"/>
      <c r="T255" s="8"/>
      <c r="U255" s="8"/>
      <c r="V255" s="8"/>
      <c r="W255" s="8"/>
      <c r="X255" s="8"/>
      <c r="Y255" s="8"/>
      <c r="Z255" s="8"/>
      <c r="AA255" s="8"/>
      <c r="AB255" s="11"/>
      <c r="AC255" s="11"/>
      <c r="AD255" s="11"/>
      <c r="AE255" s="11"/>
      <c r="AF255" s="11"/>
      <c r="AG255" s="11"/>
      <c r="AH255" s="11"/>
      <c r="AI255" s="11"/>
      <c r="AJ255" s="11"/>
      <c r="AK255" s="11"/>
      <c r="AL255" s="11"/>
    </row>
    <row r="256" spans="1:38" ht="25.5" customHeight="1">
      <c r="A256" s="7" t="s">
        <v>23</v>
      </c>
      <c r="B256" s="8" t="s">
        <v>812</v>
      </c>
      <c r="C256" s="218" t="s">
        <v>813</v>
      </c>
      <c r="D256" s="218" t="s">
        <v>813</v>
      </c>
      <c r="E256" s="157" t="str">
        <f t="shared" si="2"/>
        <v>g2note
Note: ask knowledgeable UP officials</v>
      </c>
      <c r="F256" s="86"/>
      <c r="G256" s="8"/>
      <c r="H256" s="8"/>
      <c r="I256" s="7"/>
      <c r="J256" s="8"/>
      <c r="K256" s="8"/>
      <c r="L256" s="8"/>
      <c r="M256" s="8"/>
      <c r="N256" s="8"/>
      <c r="O256" s="8"/>
      <c r="P256" s="8"/>
      <c r="Q256" s="8"/>
      <c r="R256" s="8"/>
      <c r="S256" s="8"/>
      <c r="T256" s="8"/>
      <c r="U256" s="8"/>
      <c r="V256" s="8"/>
      <c r="W256" s="8"/>
      <c r="X256" s="8"/>
      <c r="Y256" s="8"/>
      <c r="Z256" s="8"/>
      <c r="AA256" s="8"/>
      <c r="AB256" s="11"/>
      <c r="AC256" s="11"/>
      <c r="AD256" s="11"/>
      <c r="AE256" s="11"/>
      <c r="AF256" s="11"/>
      <c r="AG256" s="11"/>
      <c r="AH256" s="11"/>
      <c r="AI256" s="11"/>
      <c r="AJ256" s="11"/>
      <c r="AK256" s="11"/>
      <c r="AL256" s="11"/>
    </row>
    <row r="257" spans="1:38" ht="15.75" customHeight="1">
      <c r="A257" s="7" t="s">
        <v>814</v>
      </c>
      <c r="B257" s="7" t="s">
        <v>815</v>
      </c>
      <c r="C257" s="169" t="s">
        <v>816</v>
      </c>
      <c r="D257" s="219" t="s">
        <v>817</v>
      </c>
      <c r="E257" s="157" t="str">
        <f t="shared" si="2"/>
        <v>g2ssn
গত 12 মাসে  নিচের প্রোগ্রামগুলির মধ্যে কোন প্রোগ্রামগুলি থেকে গ্রামের কোন খানা সুবিধা পেয়েছেন?</v>
      </c>
      <c r="F257" s="218"/>
      <c r="G257" s="8"/>
      <c r="H257" s="7"/>
      <c r="I257" s="7"/>
      <c r="J257" s="8"/>
      <c r="K257" s="8"/>
      <c r="L257" s="8"/>
      <c r="M257" s="86"/>
      <c r="N257" s="7"/>
      <c r="O257" s="38" t="s">
        <v>54</v>
      </c>
      <c r="P257" s="7"/>
      <c r="Q257" s="7"/>
      <c r="R257" s="7"/>
      <c r="S257" s="7"/>
      <c r="T257" s="7"/>
      <c r="U257" s="7"/>
      <c r="V257" s="7"/>
      <c r="W257" s="7"/>
      <c r="X257" s="7"/>
      <c r="Y257" s="7"/>
      <c r="Z257" s="7"/>
      <c r="AA257" s="7"/>
      <c r="AB257" s="11"/>
      <c r="AC257" s="11"/>
      <c r="AD257" s="11"/>
      <c r="AE257" s="11"/>
      <c r="AF257" s="11"/>
      <c r="AG257" s="11"/>
      <c r="AH257" s="11"/>
      <c r="AI257" s="11"/>
      <c r="AJ257" s="11"/>
      <c r="AK257" s="11"/>
      <c r="AL257" s="11"/>
    </row>
    <row r="258" spans="1:38" ht="25.5" customHeight="1">
      <c r="A258" s="7" t="s">
        <v>390</v>
      </c>
      <c r="B258" s="8" t="s">
        <v>809</v>
      </c>
      <c r="C258" s="9" t="s">
        <v>810</v>
      </c>
      <c r="D258" s="217" t="s">
        <v>811</v>
      </c>
      <c r="E258" s="157" t="str">
        <f t="shared" si="2"/>
        <v>mod_g2
Module G2: সামাজিক নিরাপত্তা কর্মসূচীতে অংশগ্রহন</v>
      </c>
      <c r="F258" s="86"/>
      <c r="G258" s="8"/>
      <c r="H258" s="8"/>
      <c r="I258" s="7"/>
      <c r="J258" s="8"/>
      <c r="K258" s="8"/>
      <c r="L258" s="8"/>
      <c r="M258" s="8"/>
      <c r="N258" s="8"/>
      <c r="O258" s="8"/>
      <c r="P258" s="8"/>
      <c r="Q258" s="8"/>
      <c r="R258" s="8"/>
      <c r="S258" s="8"/>
      <c r="T258" s="8"/>
      <c r="U258" s="8"/>
      <c r="V258" s="8"/>
      <c r="W258" s="8"/>
      <c r="X258" s="8"/>
      <c r="Y258" s="8"/>
      <c r="Z258" s="8"/>
      <c r="AA258" s="8"/>
      <c r="AB258" s="11"/>
      <c r="AC258" s="11"/>
      <c r="AD258" s="11"/>
      <c r="AE258" s="11"/>
      <c r="AF258" s="11"/>
      <c r="AG258" s="11"/>
      <c r="AH258" s="11"/>
      <c r="AI258" s="11"/>
      <c r="AJ258" s="11"/>
      <c r="AK258" s="11"/>
      <c r="AL258" s="11"/>
    </row>
    <row r="259" spans="1:38" ht="25.5" customHeight="1">
      <c r="A259" s="7"/>
      <c r="B259" s="8"/>
      <c r="C259" s="9"/>
      <c r="D259" s="85"/>
      <c r="E259" s="157" t="str">
        <f t="shared" si="2"/>
        <v xml:space="preserve">
</v>
      </c>
      <c r="F259" s="86"/>
      <c r="G259" s="8"/>
      <c r="H259" s="8"/>
      <c r="I259" s="7"/>
      <c r="J259" s="8"/>
      <c r="K259" s="8"/>
      <c r="L259" s="8"/>
      <c r="M259" s="8"/>
      <c r="N259" s="8"/>
      <c r="O259" s="8"/>
      <c r="P259" s="8"/>
      <c r="Q259" s="8"/>
      <c r="R259" s="8"/>
      <c r="S259" s="8"/>
      <c r="T259" s="8"/>
      <c r="U259" s="8"/>
      <c r="V259" s="8"/>
      <c r="W259" s="8"/>
      <c r="X259" s="8"/>
      <c r="Y259" s="8"/>
      <c r="Z259" s="8"/>
      <c r="AA259" s="8"/>
      <c r="AB259" s="11"/>
      <c r="AC259" s="11"/>
      <c r="AD259" s="11"/>
      <c r="AE259" s="11"/>
      <c r="AF259" s="11"/>
      <c r="AG259" s="11"/>
      <c r="AH259" s="11"/>
      <c r="AI259" s="11"/>
      <c r="AJ259" s="11"/>
      <c r="AK259" s="11"/>
      <c r="AL259" s="11"/>
    </row>
    <row r="260" spans="1:38" ht="25.5" customHeight="1">
      <c r="A260" s="7"/>
      <c r="B260" s="8"/>
      <c r="C260" s="9"/>
      <c r="D260" s="85"/>
      <c r="E260" s="157" t="str">
        <f t="shared" si="2"/>
        <v xml:space="preserve">
</v>
      </c>
      <c r="F260" s="86"/>
      <c r="G260" s="8"/>
      <c r="H260" s="8"/>
      <c r="I260" s="7"/>
      <c r="J260" s="8"/>
      <c r="K260" s="8"/>
      <c r="L260" s="8"/>
      <c r="M260" s="8"/>
      <c r="N260" s="8"/>
      <c r="O260" s="8"/>
      <c r="P260" s="8"/>
      <c r="Q260" s="8"/>
      <c r="R260" s="8"/>
      <c r="S260" s="8"/>
      <c r="T260" s="8"/>
      <c r="U260" s="8"/>
      <c r="V260" s="8"/>
      <c r="W260" s="8"/>
      <c r="X260" s="8"/>
      <c r="Y260" s="8"/>
      <c r="Z260" s="8"/>
      <c r="AA260" s="8"/>
      <c r="AB260" s="11"/>
      <c r="AC260" s="11"/>
      <c r="AD260" s="11"/>
      <c r="AE260" s="11"/>
      <c r="AF260" s="11"/>
      <c r="AG260" s="11"/>
      <c r="AH260" s="11"/>
      <c r="AI260" s="11"/>
      <c r="AJ260" s="11"/>
      <c r="AK260" s="11"/>
      <c r="AL260" s="11"/>
    </row>
    <row r="261" spans="1:38" ht="25.5" customHeight="1">
      <c r="A261" s="7"/>
      <c r="B261" s="8"/>
      <c r="C261" s="9"/>
      <c r="D261" s="85"/>
      <c r="E261" s="157" t="str">
        <f t="shared" si="2"/>
        <v xml:space="preserve">
</v>
      </c>
      <c r="F261" s="86"/>
      <c r="G261" s="8"/>
      <c r="H261" s="8"/>
      <c r="I261" s="7"/>
      <c r="J261" s="8"/>
      <c r="K261" s="8"/>
      <c r="L261" s="8"/>
      <c r="M261" s="8"/>
      <c r="N261" s="8"/>
      <c r="O261" s="8"/>
      <c r="P261" s="8"/>
      <c r="Q261" s="8"/>
      <c r="R261" s="8"/>
      <c r="S261" s="8"/>
      <c r="T261" s="8"/>
      <c r="U261" s="8"/>
      <c r="V261" s="8"/>
      <c r="W261" s="8"/>
      <c r="X261" s="8"/>
      <c r="Y261" s="8"/>
      <c r="Z261" s="8"/>
      <c r="AA261" s="8"/>
      <c r="AB261" s="11"/>
      <c r="AC261" s="11"/>
      <c r="AD261" s="11"/>
      <c r="AE261" s="11"/>
      <c r="AF261" s="11"/>
      <c r="AG261" s="11"/>
      <c r="AH261" s="11"/>
      <c r="AI261" s="11"/>
      <c r="AJ261" s="11"/>
      <c r="AK261" s="11"/>
      <c r="AL261" s="11"/>
    </row>
    <row r="262" spans="1:38" ht="25.5" customHeight="1">
      <c r="A262" s="7"/>
      <c r="B262" s="8"/>
      <c r="C262" s="9"/>
      <c r="D262" s="85"/>
      <c r="E262" s="157" t="str">
        <f t="shared" si="2"/>
        <v xml:space="preserve">
</v>
      </c>
      <c r="F262" s="86"/>
      <c r="G262" s="8"/>
      <c r="H262" s="8"/>
      <c r="I262" s="7"/>
      <c r="J262" s="8"/>
      <c r="K262" s="8"/>
      <c r="L262" s="8"/>
      <c r="M262" s="8"/>
      <c r="N262" s="8"/>
      <c r="O262" s="8"/>
      <c r="P262" s="8"/>
      <c r="Q262" s="8"/>
      <c r="R262" s="8"/>
      <c r="S262" s="8"/>
      <c r="T262" s="8"/>
      <c r="U262" s="8"/>
      <c r="V262" s="8"/>
      <c r="W262" s="8"/>
      <c r="X262" s="8"/>
      <c r="Y262" s="8"/>
      <c r="Z262" s="8"/>
      <c r="AA262" s="8"/>
      <c r="AB262" s="11"/>
      <c r="AC262" s="11"/>
      <c r="AD262" s="11"/>
      <c r="AE262" s="11"/>
      <c r="AF262" s="11"/>
      <c r="AG262" s="11"/>
      <c r="AH262" s="11"/>
      <c r="AI262" s="11"/>
      <c r="AJ262" s="11"/>
      <c r="AK262" s="11"/>
      <c r="AL262" s="11"/>
    </row>
    <row r="263" spans="1:38" ht="25.5" customHeight="1">
      <c r="A263" s="7"/>
      <c r="B263" s="8"/>
      <c r="C263" s="9"/>
      <c r="D263" s="85"/>
      <c r="E263" s="157" t="str">
        <f t="shared" si="2"/>
        <v xml:space="preserve">
</v>
      </c>
      <c r="F263" s="86"/>
      <c r="G263" s="8"/>
      <c r="H263" s="8"/>
      <c r="I263" s="7"/>
      <c r="J263" s="8"/>
      <c r="K263" s="8"/>
      <c r="L263" s="8"/>
      <c r="M263" s="8"/>
      <c r="N263" s="8"/>
      <c r="O263" s="8"/>
      <c r="P263" s="8"/>
      <c r="Q263" s="8"/>
      <c r="R263" s="8"/>
      <c r="S263" s="8"/>
      <c r="T263" s="8"/>
      <c r="U263" s="8"/>
      <c r="V263" s="8"/>
      <c r="W263" s="8"/>
      <c r="X263" s="8"/>
      <c r="Y263" s="8"/>
      <c r="Z263" s="8"/>
      <c r="AA263" s="8"/>
      <c r="AB263" s="11"/>
      <c r="AC263" s="11"/>
      <c r="AD263" s="11"/>
      <c r="AE263" s="11"/>
      <c r="AF263" s="11"/>
      <c r="AG263" s="11"/>
      <c r="AH263" s="11"/>
      <c r="AI263" s="11"/>
      <c r="AJ263" s="11"/>
      <c r="AK263" s="11"/>
      <c r="AL263" s="11"/>
    </row>
    <row r="264" spans="1:38" ht="25.5" customHeight="1">
      <c r="A264" s="7"/>
      <c r="B264" s="8"/>
      <c r="C264" s="9"/>
      <c r="D264" s="85"/>
      <c r="E264" s="157" t="str">
        <f t="shared" si="2"/>
        <v xml:space="preserve">
</v>
      </c>
      <c r="F264" s="86"/>
      <c r="G264" s="8"/>
      <c r="H264" s="8"/>
      <c r="I264" s="7"/>
      <c r="J264" s="8"/>
      <c r="K264" s="8"/>
      <c r="L264" s="8"/>
      <c r="M264" s="8"/>
      <c r="N264" s="8"/>
      <c r="O264" s="8"/>
      <c r="P264" s="8"/>
      <c r="Q264" s="8"/>
      <c r="R264" s="8"/>
      <c r="S264" s="8"/>
      <c r="T264" s="8"/>
      <c r="U264" s="8"/>
      <c r="V264" s="8"/>
      <c r="W264" s="8"/>
      <c r="X264" s="8"/>
      <c r="Y264" s="8"/>
      <c r="Z264" s="8"/>
      <c r="AA264" s="8"/>
      <c r="AB264" s="11"/>
      <c r="AC264" s="11"/>
      <c r="AD264" s="11"/>
      <c r="AE264" s="11"/>
      <c r="AF264" s="11"/>
      <c r="AG264" s="11"/>
      <c r="AH264" s="11"/>
      <c r="AI264" s="11"/>
      <c r="AJ264" s="11"/>
      <c r="AK264" s="11"/>
      <c r="AL264" s="11"/>
    </row>
    <row r="265" spans="1:38" ht="25.5" customHeight="1">
      <c r="A265" s="7"/>
      <c r="B265" s="8"/>
      <c r="C265" s="9"/>
      <c r="D265" s="85"/>
      <c r="E265" s="157" t="str">
        <f t="shared" si="2"/>
        <v xml:space="preserve">
</v>
      </c>
      <c r="F265" s="86"/>
      <c r="G265" s="8"/>
      <c r="H265" s="8"/>
      <c r="I265" s="7"/>
      <c r="J265" s="8"/>
      <c r="K265" s="8"/>
      <c r="L265" s="8"/>
      <c r="M265" s="8"/>
      <c r="N265" s="8"/>
      <c r="O265" s="8"/>
      <c r="P265" s="8"/>
      <c r="Q265" s="8"/>
      <c r="R265" s="8"/>
      <c r="S265" s="8"/>
      <c r="T265" s="8"/>
      <c r="U265" s="8"/>
      <c r="V265" s="8"/>
      <c r="W265" s="8"/>
      <c r="X265" s="8"/>
      <c r="Y265" s="8"/>
      <c r="Z265" s="8"/>
      <c r="AA265" s="8"/>
      <c r="AB265" s="11"/>
      <c r="AC265" s="11"/>
      <c r="AD265" s="11"/>
      <c r="AE265" s="11"/>
      <c r="AF265" s="11"/>
      <c r="AG265" s="11"/>
      <c r="AH265" s="11"/>
      <c r="AI265" s="11"/>
      <c r="AJ265" s="11"/>
      <c r="AK265" s="11"/>
      <c r="AL265" s="11"/>
    </row>
    <row r="266" spans="1:38" ht="25.5" customHeight="1">
      <c r="A266" s="7"/>
      <c r="B266" s="8"/>
      <c r="C266" s="9"/>
      <c r="D266" s="85"/>
      <c r="E266" s="157" t="str">
        <f t="shared" si="2"/>
        <v xml:space="preserve">
</v>
      </c>
      <c r="F266" s="86"/>
      <c r="G266" s="8"/>
      <c r="H266" s="8"/>
      <c r="I266" s="7"/>
      <c r="J266" s="8"/>
      <c r="K266" s="8"/>
      <c r="L266" s="8"/>
      <c r="M266" s="8"/>
      <c r="N266" s="8"/>
      <c r="O266" s="8"/>
      <c r="P266" s="8"/>
      <c r="Q266" s="8"/>
      <c r="R266" s="8"/>
      <c r="S266" s="8"/>
      <c r="T266" s="8"/>
      <c r="U266" s="8"/>
      <c r="V266" s="8"/>
      <c r="W266" s="8"/>
      <c r="X266" s="8"/>
      <c r="Y266" s="8"/>
      <c r="Z266" s="8"/>
      <c r="AA266" s="8"/>
      <c r="AB266" s="11"/>
      <c r="AC266" s="11"/>
      <c r="AD266" s="11"/>
      <c r="AE266" s="11"/>
      <c r="AF266" s="11"/>
      <c r="AG266" s="11"/>
      <c r="AH266" s="11"/>
      <c r="AI266" s="11"/>
      <c r="AJ266" s="11"/>
      <c r="AK266" s="11"/>
      <c r="AL266" s="11"/>
    </row>
    <row r="267" spans="1:38" ht="25.5" customHeight="1">
      <c r="A267" s="7"/>
      <c r="B267" s="8"/>
      <c r="C267" s="9"/>
      <c r="D267" s="85"/>
      <c r="E267" s="157" t="str">
        <f t="shared" si="2"/>
        <v xml:space="preserve">
</v>
      </c>
      <c r="F267" s="86"/>
      <c r="G267" s="8"/>
      <c r="H267" s="8"/>
      <c r="I267" s="7"/>
      <c r="J267" s="8"/>
      <c r="K267" s="8"/>
      <c r="L267" s="8"/>
      <c r="M267" s="8"/>
      <c r="N267" s="8"/>
      <c r="O267" s="8"/>
      <c r="P267" s="8"/>
      <c r="Q267" s="8"/>
      <c r="R267" s="8"/>
      <c r="S267" s="8"/>
      <c r="T267" s="8"/>
      <c r="U267" s="8"/>
      <c r="V267" s="8"/>
      <c r="W267" s="8"/>
      <c r="X267" s="8"/>
      <c r="Y267" s="8"/>
      <c r="Z267" s="8"/>
      <c r="AA267" s="8"/>
      <c r="AB267" s="11"/>
      <c r="AC267" s="11"/>
      <c r="AD267" s="11"/>
      <c r="AE267" s="11"/>
      <c r="AF267" s="11"/>
      <c r="AG267" s="11"/>
      <c r="AH267" s="11"/>
      <c r="AI267" s="11"/>
      <c r="AJ267" s="11"/>
      <c r="AK267" s="11"/>
      <c r="AL267" s="11"/>
    </row>
    <row r="268" spans="1:38" ht="25.5" customHeight="1">
      <c r="A268" s="7"/>
      <c r="B268" s="8"/>
      <c r="C268" s="9"/>
      <c r="D268" s="85"/>
      <c r="E268" s="157" t="str">
        <f t="shared" si="2"/>
        <v xml:space="preserve">
</v>
      </c>
      <c r="F268" s="86"/>
      <c r="G268" s="8"/>
      <c r="H268" s="8"/>
      <c r="I268" s="7"/>
      <c r="J268" s="8"/>
      <c r="K268" s="8"/>
      <c r="L268" s="8"/>
      <c r="M268" s="8"/>
      <c r="N268" s="8"/>
      <c r="O268" s="8"/>
      <c r="P268" s="8"/>
      <c r="Q268" s="8"/>
      <c r="R268" s="8"/>
      <c r="S268" s="8"/>
      <c r="T268" s="8"/>
      <c r="U268" s="8"/>
      <c r="V268" s="8"/>
      <c r="W268" s="8"/>
      <c r="X268" s="8"/>
      <c r="Y268" s="8"/>
      <c r="Z268" s="8"/>
      <c r="AA268" s="8"/>
      <c r="AB268" s="11"/>
      <c r="AC268" s="11"/>
      <c r="AD268" s="11"/>
      <c r="AE268" s="11"/>
      <c r="AF268" s="11"/>
      <c r="AG268" s="11"/>
      <c r="AH268" s="11"/>
      <c r="AI268" s="11"/>
      <c r="AJ268" s="11"/>
      <c r="AK268" s="11"/>
      <c r="AL268" s="11"/>
    </row>
    <row r="269" spans="1:38" ht="25.5" customHeight="1">
      <c r="A269" s="7"/>
      <c r="B269" s="8"/>
      <c r="C269" s="9"/>
      <c r="D269" s="85"/>
      <c r="E269" s="157" t="str">
        <f t="shared" si="2"/>
        <v xml:space="preserve">
</v>
      </c>
      <c r="F269" s="86"/>
      <c r="G269" s="8"/>
      <c r="H269" s="8"/>
      <c r="I269" s="7"/>
      <c r="J269" s="8"/>
      <c r="K269" s="8"/>
      <c r="L269" s="8"/>
      <c r="M269" s="8"/>
      <c r="N269" s="8"/>
      <c r="O269" s="8"/>
      <c r="P269" s="8"/>
      <c r="Q269" s="8"/>
      <c r="R269" s="8"/>
      <c r="S269" s="8"/>
      <c r="T269" s="8"/>
      <c r="U269" s="8"/>
      <c r="V269" s="8"/>
      <c r="W269" s="8"/>
      <c r="X269" s="8"/>
      <c r="Y269" s="8"/>
      <c r="Z269" s="8"/>
      <c r="AA269" s="8"/>
      <c r="AB269" s="11"/>
      <c r="AC269" s="11"/>
      <c r="AD269" s="11"/>
      <c r="AE269" s="11"/>
      <c r="AF269" s="11"/>
      <c r="AG269" s="11"/>
      <c r="AH269" s="11"/>
      <c r="AI269" s="11"/>
      <c r="AJ269" s="11"/>
      <c r="AK269" s="11"/>
      <c r="AL269" s="11"/>
    </row>
    <row r="270" spans="1:38" ht="25.5" customHeight="1">
      <c r="A270" s="7"/>
      <c r="B270" s="8"/>
      <c r="C270" s="9"/>
      <c r="D270" s="85"/>
      <c r="E270" s="157" t="str">
        <f t="shared" si="2"/>
        <v xml:space="preserve">
</v>
      </c>
      <c r="F270" s="86"/>
      <c r="G270" s="8"/>
      <c r="H270" s="8"/>
      <c r="I270" s="7"/>
      <c r="J270" s="8"/>
      <c r="K270" s="8"/>
      <c r="L270" s="8"/>
      <c r="M270" s="8"/>
      <c r="N270" s="8"/>
      <c r="O270" s="8"/>
      <c r="P270" s="8"/>
      <c r="Q270" s="8"/>
      <c r="R270" s="8"/>
      <c r="S270" s="8"/>
      <c r="T270" s="8"/>
      <c r="U270" s="8"/>
      <c r="V270" s="8"/>
      <c r="W270" s="8"/>
      <c r="X270" s="8"/>
      <c r="Y270" s="8"/>
      <c r="Z270" s="8"/>
      <c r="AA270" s="8"/>
      <c r="AB270" s="11"/>
      <c r="AC270" s="11"/>
      <c r="AD270" s="11"/>
      <c r="AE270" s="11"/>
      <c r="AF270" s="11"/>
      <c r="AG270" s="11"/>
      <c r="AH270" s="11"/>
      <c r="AI270" s="11"/>
      <c r="AJ270" s="11"/>
      <c r="AK270" s="11"/>
      <c r="AL270" s="11"/>
    </row>
    <row r="271" spans="1:38" ht="25.5" customHeight="1">
      <c r="A271" s="7"/>
      <c r="B271" s="8"/>
      <c r="C271" s="9"/>
      <c r="D271" s="85"/>
      <c r="E271" s="157" t="str">
        <f t="shared" si="2"/>
        <v xml:space="preserve">
</v>
      </c>
      <c r="F271" s="86"/>
      <c r="G271" s="8"/>
      <c r="H271" s="8"/>
      <c r="I271" s="7"/>
      <c r="J271" s="8"/>
      <c r="K271" s="8"/>
      <c r="L271" s="8"/>
      <c r="M271" s="8"/>
      <c r="N271" s="8"/>
      <c r="O271" s="8"/>
      <c r="P271" s="8"/>
      <c r="Q271" s="8"/>
      <c r="R271" s="8"/>
      <c r="S271" s="8"/>
      <c r="T271" s="8"/>
      <c r="U271" s="8"/>
      <c r="V271" s="8"/>
      <c r="W271" s="8"/>
      <c r="X271" s="8"/>
      <c r="Y271" s="8"/>
      <c r="Z271" s="8"/>
      <c r="AA271" s="8"/>
      <c r="AB271" s="11"/>
      <c r="AC271" s="11"/>
      <c r="AD271" s="11"/>
      <c r="AE271" s="11"/>
      <c r="AF271" s="11"/>
      <c r="AG271" s="11"/>
      <c r="AH271" s="11"/>
      <c r="AI271" s="11"/>
      <c r="AJ271" s="11"/>
      <c r="AK271" s="11"/>
      <c r="AL271" s="11"/>
    </row>
    <row r="272" spans="1:38" ht="25.5" customHeight="1">
      <c r="A272" s="7"/>
      <c r="B272" s="8"/>
      <c r="C272" s="9"/>
      <c r="D272" s="85"/>
      <c r="E272" s="157" t="str">
        <f t="shared" si="2"/>
        <v xml:space="preserve">
</v>
      </c>
      <c r="F272" s="86"/>
      <c r="G272" s="8"/>
      <c r="H272" s="8"/>
      <c r="I272" s="7"/>
      <c r="J272" s="8"/>
      <c r="K272" s="8"/>
      <c r="L272" s="8"/>
      <c r="M272" s="8"/>
      <c r="N272" s="8"/>
      <c r="O272" s="8"/>
      <c r="P272" s="8"/>
      <c r="Q272" s="8"/>
      <c r="R272" s="8"/>
      <c r="S272" s="8"/>
      <c r="T272" s="8"/>
      <c r="U272" s="8"/>
      <c r="V272" s="8"/>
      <c r="W272" s="8"/>
      <c r="X272" s="8"/>
      <c r="Y272" s="8"/>
      <c r="Z272" s="8"/>
      <c r="AA272" s="8"/>
      <c r="AB272" s="11"/>
      <c r="AC272" s="11"/>
      <c r="AD272" s="11"/>
      <c r="AE272" s="11"/>
      <c r="AF272" s="11"/>
      <c r="AG272" s="11"/>
      <c r="AH272" s="11"/>
      <c r="AI272" s="11"/>
      <c r="AJ272" s="11"/>
      <c r="AK272" s="11"/>
      <c r="AL272" s="11"/>
    </row>
    <row r="273" spans="1:38" ht="25.5" customHeight="1">
      <c r="A273" s="7"/>
      <c r="B273" s="8"/>
      <c r="C273" s="9"/>
      <c r="D273" s="85"/>
      <c r="E273" s="157" t="str">
        <f t="shared" si="2"/>
        <v xml:space="preserve">
</v>
      </c>
      <c r="F273" s="86"/>
      <c r="G273" s="8"/>
      <c r="H273" s="8"/>
      <c r="I273" s="7"/>
      <c r="J273" s="8"/>
      <c r="K273" s="8"/>
      <c r="L273" s="8"/>
      <c r="M273" s="8"/>
      <c r="N273" s="8"/>
      <c r="O273" s="8"/>
      <c r="P273" s="8"/>
      <c r="Q273" s="8"/>
      <c r="R273" s="8"/>
      <c r="S273" s="8"/>
      <c r="T273" s="8"/>
      <c r="U273" s="8"/>
      <c r="V273" s="8"/>
      <c r="W273" s="8"/>
      <c r="X273" s="8"/>
      <c r="Y273" s="8"/>
      <c r="Z273" s="8"/>
      <c r="AA273" s="8"/>
      <c r="AB273" s="11"/>
      <c r="AC273" s="11"/>
      <c r="AD273" s="11"/>
      <c r="AE273" s="11"/>
      <c r="AF273" s="11"/>
      <c r="AG273" s="11"/>
      <c r="AH273" s="11"/>
      <c r="AI273" s="11"/>
      <c r="AJ273" s="11"/>
      <c r="AK273" s="11"/>
      <c r="AL273" s="11"/>
    </row>
    <row r="274" spans="1:38" ht="25.5" customHeight="1">
      <c r="A274" s="7"/>
      <c r="B274" s="8"/>
      <c r="C274" s="9"/>
      <c r="D274" s="85"/>
      <c r="E274" s="157" t="str">
        <f t="shared" si="2"/>
        <v xml:space="preserve">
</v>
      </c>
      <c r="F274" s="86"/>
      <c r="G274" s="8"/>
      <c r="H274" s="8"/>
      <c r="I274" s="7"/>
      <c r="J274" s="8"/>
      <c r="K274" s="8"/>
      <c r="L274" s="8"/>
      <c r="M274" s="8"/>
      <c r="N274" s="8"/>
      <c r="O274" s="8"/>
      <c r="P274" s="8"/>
      <c r="Q274" s="8"/>
      <c r="R274" s="8"/>
      <c r="S274" s="8"/>
      <c r="T274" s="8"/>
      <c r="U274" s="8"/>
      <c r="V274" s="8"/>
      <c r="W274" s="8"/>
      <c r="X274" s="8"/>
      <c r="Y274" s="8"/>
      <c r="Z274" s="8"/>
      <c r="AA274" s="8"/>
      <c r="AB274" s="11"/>
      <c r="AC274" s="11"/>
      <c r="AD274" s="11"/>
      <c r="AE274" s="11"/>
      <c r="AF274" s="11"/>
      <c r="AG274" s="11"/>
      <c r="AH274" s="11"/>
      <c r="AI274" s="11"/>
      <c r="AJ274" s="11"/>
      <c r="AK274" s="11"/>
      <c r="AL274" s="11"/>
    </row>
    <row r="275" spans="1:38" ht="25.5" customHeight="1">
      <c r="A275" s="7"/>
      <c r="B275" s="8"/>
      <c r="C275" s="9"/>
      <c r="D275" s="85"/>
      <c r="E275" s="157" t="str">
        <f t="shared" si="2"/>
        <v xml:space="preserve">
</v>
      </c>
      <c r="F275" s="86"/>
      <c r="G275" s="8"/>
      <c r="H275" s="8"/>
      <c r="I275" s="7"/>
      <c r="J275" s="8"/>
      <c r="K275" s="8"/>
      <c r="L275" s="8"/>
      <c r="M275" s="8"/>
      <c r="N275" s="8"/>
      <c r="O275" s="8"/>
      <c r="P275" s="8"/>
      <c r="Q275" s="8"/>
      <c r="R275" s="8"/>
      <c r="S275" s="8"/>
      <c r="T275" s="8"/>
      <c r="U275" s="8"/>
      <c r="V275" s="8"/>
      <c r="W275" s="8"/>
      <c r="X275" s="8"/>
      <c r="Y275" s="8"/>
      <c r="Z275" s="8"/>
      <c r="AA275" s="8"/>
      <c r="AB275" s="11"/>
      <c r="AC275" s="11"/>
      <c r="AD275" s="11"/>
      <c r="AE275" s="11"/>
      <c r="AF275" s="11"/>
      <c r="AG275" s="11"/>
      <c r="AH275" s="11"/>
      <c r="AI275" s="11"/>
      <c r="AJ275" s="11"/>
      <c r="AK275" s="11"/>
      <c r="AL275" s="11"/>
    </row>
    <row r="276" spans="1:38" ht="25.5" customHeight="1">
      <c r="A276" s="7"/>
      <c r="B276" s="8"/>
      <c r="C276" s="9"/>
      <c r="D276" s="85"/>
      <c r="E276" s="157" t="str">
        <f t="shared" si="2"/>
        <v xml:space="preserve">
</v>
      </c>
      <c r="F276" s="86"/>
      <c r="G276" s="8"/>
      <c r="H276" s="8"/>
      <c r="I276" s="7"/>
      <c r="J276" s="8"/>
      <c r="K276" s="8"/>
      <c r="L276" s="8"/>
      <c r="M276" s="8"/>
      <c r="N276" s="8"/>
      <c r="O276" s="8"/>
      <c r="P276" s="8"/>
      <c r="Q276" s="8"/>
      <c r="R276" s="8"/>
      <c r="S276" s="8"/>
      <c r="T276" s="8"/>
      <c r="U276" s="8"/>
      <c r="V276" s="8"/>
      <c r="W276" s="8"/>
      <c r="X276" s="8"/>
      <c r="Y276" s="8"/>
      <c r="Z276" s="8"/>
      <c r="AA276" s="8"/>
      <c r="AB276" s="11"/>
      <c r="AC276" s="11"/>
      <c r="AD276" s="11"/>
      <c r="AE276" s="11"/>
      <c r="AF276" s="11"/>
      <c r="AG276" s="11"/>
      <c r="AH276" s="11"/>
      <c r="AI276" s="11"/>
      <c r="AJ276" s="11"/>
      <c r="AK276" s="11"/>
      <c r="AL276" s="11"/>
    </row>
    <row r="277" spans="1:38" ht="25.5" customHeight="1">
      <c r="A277" s="7"/>
      <c r="B277" s="8"/>
      <c r="C277" s="9"/>
      <c r="D277" s="85"/>
      <c r="E277" s="157" t="str">
        <f t="shared" si="2"/>
        <v xml:space="preserve">
</v>
      </c>
      <c r="F277" s="86"/>
      <c r="G277" s="8"/>
      <c r="H277" s="8"/>
      <c r="I277" s="7"/>
      <c r="J277" s="8"/>
      <c r="K277" s="8"/>
      <c r="L277" s="8"/>
      <c r="M277" s="8"/>
      <c r="N277" s="8"/>
      <c r="O277" s="8"/>
      <c r="P277" s="8"/>
      <c r="Q277" s="8"/>
      <c r="R277" s="8"/>
      <c r="S277" s="8"/>
      <c r="T277" s="8"/>
      <c r="U277" s="8"/>
      <c r="V277" s="8"/>
      <c r="W277" s="8"/>
      <c r="X277" s="8"/>
      <c r="Y277" s="8"/>
      <c r="Z277" s="8"/>
      <c r="AA277" s="8"/>
      <c r="AB277" s="11"/>
      <c r="AC277" s="11"/>
      <c r="AD277" s="11"/>
      <c r="AE277" s="11"/>
      <c r="AF277" s="11"/>
      <c r="AG277" s="11"/>
      <c r="AH277" s="11"/>
      <c r="AI277" s="11"/>
      <c r="AJ277" s="11"/>
      <c r="AK277" s="11"/>
      <c r="AL277" s="11"/>
    </row>
    <row r="278" spans="1:38" ht="25.5" customHeight="1">
      <c r="A278" s="7"/>
      <c r="B278" s="8"/>
      <c r="C278" s="9"/>
      <c r="D278" s="85"/>
      <c r="E278" s="157" t="str">
        <f t="shared" si="2"/>
        <v xml:space="preserve">
</v>
      </c>
      <c r="F278" s="86"/>
      <c r="G278" s="8"/>
      <c r="H278" s="8"/>
      <c r="I278" s="7"/>
      <c r="J278" s="8"/>
      <c r="K278" s="8"/>
      <c r="L278" s="8"/>
      <c r="M278" s="8"/>
      <c r="N278" s="8"/>
      <c r="O278" s="8"/>
      <c r="P278" s="8"/>
      <c r="Q278" s="8"/>
      <c r="R278" s="8"/>
      <c r="S278" s="8"/>
      <c r="T278" s="8"/>
      <c r="U278" s="8"/>
      <c r="V278" s="8"/>
      <c r="W278" s="8"/>
      <c r="X278" s="8"/>
      <c r="Y278" s="8"/>
      <c r="Z278" s="8"/>
      <c r="AA278" s="8"/>
      <c r="AB278" s="11"/>
      <c r="AC278" s="11"/>
      <c r="AD278" s="11"/>
      <c r="AE278" s="11"/>
      <c r="AF278" s="11"/>
      <c r="AG278" s="11"/>
      <c r="AH278" s="11"/>
      <c r="AI278" s="11"/>
      <c r="AJ278" s="11"/>
      <c r="AK278" s="11"/>
      <c r="AL278" s="11"/>
    </row>
    <row r="279" spans="1:38" ht="15.75" customHeight="1">
      <c r="A279" s="7"/>
      <c r="B279" s="8"/>
      <c r="C279" s="9"/>
      <c r="D279" s="87"/>
      <c r="E279" s="157" t="str">
        <f t="shared" si="2"/>
        <v xml:space="preserve">
</v>
      </c>
      <c r="F279" s="86"/>
      <c r="G279" s="8"/>
      <c r="H279" s="8"/>
      <c r="I279" s="7"/>
      <c r="J279" s="8"/>
      <c r="K279" s="8"/>
      <c r="L279" s="8"/>
      <c r="M279" s="8"/>
      <c r="N279" s="8"/>
      <c r="O279" s="8"/>
      <c r="P279" s="8"/>
      <c r="Q279" s="8"/>
      <c r="R279" s="8"/>
      <c r="S279" s="8"/>
      <c r="T279" s="8"/>
      <c r="U279" s="8"/>
      <c r="V279" s="8"/>
      <c r="W279" s="8"/>
      <c r="X279" s="8"/>
      <c r="Y279" s="8"/>
      <c r="Z279" s="8"/>
      <c r="AA279" s="8"/>
      <c r="AB279" s="11"/>
      <c r="AC279" s="11"/>
      <c r="AD279" s="11"/>
      <c r="AE279" s="11"/>
      <c r="AF279" s="11"/>
      <c r="AG279" s="11"/>
      <c r="AH279" s="11"/>
      <c r="AI279" s="11"/>
      <c r="AJ279" s="11"/>
      <c r="AK279" s="11"/>
      <c r="AL279" s="11"/>
    </row>
    <row r="280" spans="1:38" ht="15.75" customHeight="1">
      <c r="A280" s="7"/>
      <c r="B280" s="7"/>
      <c r="C280" s="9"/>
      <c r="D280" s="87"/>
      <c r="E280" s="157" t="str">
        <f t="shared" si="2"/>
        <v xml:space="preserve">
</v>
      </c>
      <c r="F280" s="86"/>
      <c r="G280" s="8"/>
      <c r="H280" s="8"/>
      <c r="I280" s="7"/>
      <c r="J280" s="8"/>
      <c r="K280" s="8"/>
      <c r="L280" s="8"/>
      <c r="M280" s="8"/>
      <c r="N280" s="8"/>
      <c r="O280" s="8"/>
      <c r="P280" s="8"/>
      <c r="Q280" s="8"/>
      <c r="R280" s="8"/>
      <c r="S280" s="8"/>
      <c r="T280" s="8"/>
      <c r="U280" s="8"/>
      <c r="V280" s="8"/>
      <c r="W280" s="8"/>
      <c r="X280" s="8"/>
      <c r="Y280" s="8"/>
      <c r="Z280" s="8"/>
      <c r="AA280" s="8"/>
      <c r="AB280" s="11"/>
      <c r="AC280" s="11"/>
      <c r="AD280" s="11"/>
      <c r="AE280" s="11"/>
      <c r="AF280" s="11"/>
      <c r="AG280" s="11"/>
      <c r="AH280" s="11"/>
      <c r="AI280" s="11"/>
      <c r="AJ280" s="11"/>
      <c r="AK280" s="11"/>
      <c r="AL280" s="11"/>
    </row>
    <row r="281" spans="1:38" ht="15.75" customHeight="1">
      <c r="A281" s="7"/>
      <c r="B281" s="8"/>
      <c r="C281" s="9"/>
      <c r="D281" s="10"/>
      <c r="E281" s="157" t="str">
        <f t="shared" si="2"/>
        <v xml:space="preserve">
</v>
      </c>
      <c r="F281" s="8"/>
      <c r="G281" s="8"/>
      <c r="H281" s="8"/>
      <c r="I281" s="7"/>
      <c r="J281" s="8"/>
      <c r="K281" s="8"/>
      <c r="L281" s="8"/>
      <c r="M281" s="8"/>
      <c r="N281" s="8"/>
      <c r="O281" s="8"/>
      <c r="P281" s="8"/>
      <c r="Q281" s="8"/>
      <c r="R281" s="8"/>
      <c r="S281" s="8"/>
      <c r="T281" s="8"/>
      <c r="U281" s="8"/>
      <c r="V281" s="8"/>
      <c r="W281" s="8"/>
      <c r="X281" s="8"/>
      <c r="Y281" s="8"/>
      <c r="Z281" s="8"/>
      <c r="AA281" s="8"/>
      <c r="AB281" s="11"/>
      <c r="AC281" s="11"/>
      <c r="AD281" s="11"/>
      <c r="AE281" s="11"/>
      <c r="AF281" s="11"/>
      <c r="AG281" s="11"/>
      <c r="AH281" s="11"/>
      <c r="AI281" s="11"/>
      <c r="AJ281" s="11"/>
      <c r="AK281" s="11"/>
      <c r="AL281" s="11"/>
    </row>
    <row r="282" spans="1:38" ht="15.75" customHeight="1">
      <c r="A282" s="7"/>
      <c r="B282" s="7"/>
      <c r="C282" s="9"/>
      <c r="D282" s="9"/>
      <c r="E282" s="80"/>
      <c r="F282" s="7"/>
      <c r="G282" s="7"/>
      <c r="H282" s="7"/>
      <c r="I282" s="7"/>
      <c r="J282" s="7"/>
      <c r="K282" s="7"/>
      <c r="L282" s="7"/>
      <c r="M282" s="7"/>
      <c r="N282" s="7"/>
      <c r="O282" s="7"/>
      <c r="P282" s="7"/>
      <c r="Q282" s="7"/>
      <c r="R282" s="7"/>
      <c r="S282" s="7"/>
      <c r="T282" s="7"/>
      <c r="U282" s="7"/>
      <c r="V282" s="7"/>
      <c r="W282" s="7"/>
      <c r="X282" s="7"/>
      <c r="Y282" s="7"/>
      <c r="Z282" s="7"/>
      <c r="AA282" s="7"/>
      <c r="AB282" s="11"/>
      <c r="AC282" s="11"/>
      <c r="AD282" s="11"/>
      <c r="AE282" s="11"/>
      <c r="AF282" s="11"/>
      <c r="AG282" s="11"/>
      <c r="AH282" s="11"/>
      <c r="AI282" s="11"/>
      <c r="AJ282" s="11"/>
      <c r="AK282" s="11"/>
      <c r="AL282" s="11"/>
    </row>
    <row r="283" spans="1:38" ht="27.75" customHeight="1">
      <c r="A283" s="7"/>
      <c r="B283" s="7"/>
      <c r="C283" s="9"/>
      <c r="D283" s="9"/>
      <c r="E283" s="80"/>
      <c r="F283" s="7"/>
      <c r="G283" s="7"/>
      <c r="H283" s="7"/>
      <c r="I283" s="7"/>
      <c r="J283" s="7"/>
      <c r="K283" s="7"/>
      <c r="L283" s="7"/>
      <c r="M283" s="7"/>
      <c r="N283" s="7"/>
      <c r="O283" s="7"/>
      <c r="P283" s="7"/>
      <c r="Q283" s="7"/>
      <c r="R283" s="7"/>
      <c r="S283" s="7"/>
      <c r="T283" s="7"/>
      <c r="U283" s="7"/>
      <c r="V283" s="7"/>
      <c r="W283" s="7"/>
      <c r="X283" s="7"/>
      <c r="Y283" s="7"/>
      <c r="Z283" s="7"/>
      <c r="AA283" s="7"/>
      <c r="AB283" s="11"/>
      <c r="AC283" s="11"/>
      <c r="AD283" s="11"/>
      <c r="AE283" s="11"/>
      <c r="AF283" s="11"/>
      <c r="AG283" s="11"/>
      <c r="AH283" s="11"/>
      <c r="AI283" s="11"/>
      <c r="AJ283" s="11"/>
      <c r="AK283" s="11"/>
      <c r="AL283" s="11"/>
    </row>
    <row r="284" spans="1:38" ht="15.75" customHeight="1">
      <c r="A284" s="7"/>
      <c r="B284" s="7"/>
      <c r="C284" s="9"/>
      <c r="D284" s="9"/>
      <c r="E284" s="80"/>
      <c r="F284" s="7"/>
      <c r="G284" s="7"/>
      <c r="H284" s="7"/>
      <c r="I284" s="7"/>
      <c r="J284" s="7"/>
      <c r="K284" s="7"/>
      <c r="L284" s="7"/>
      <c r="M284" s="7"/>
      <c r="N284" s="7"/>
      <c r="O284" s="7"/>
      <c r="P284" s="7"/>
      <c r="Q284" s="7"/>
      <c r="R284" s="7"/>
      <c r="S284" s="7"/>
      <c r="T284" s="7"/>
      <c r="U284" s="7"/>
      <c r="V284" s="7"/>
      <c r="W284" s="7"/>
      <c r="X284" s="7"/>
      <c r="Y284" s="7"/>
      <c r="Z284" s="7"/>
      <c r="AA284" s="7"/>
      <c r="AB284" s="11"/>
      <c r="AC284" s="11"/>
      <c r="AD284" s="11"/>
      <c r="AE284" s="11"/>
      <c r="AF284" s="11"/>
      <c r="AG284" s="11"/>
      <c r="AH284" s="11"/>
      <c r="AI284" s="11"/>
      <c r="AJ284" s="11"/>
      <c r="AK284" s="11"/>
      <c r="AL284" s="11"/>
    </row>
    <row r="285" spans="1:38" ht="15.75" customHeight="1">
      <c r="A285" s="7"/>
      <c r="B285" s="7"/>
      <c r="C285" s="9"/>
      <c r="D285" s="9"/>
      <c r="E285" s="80"/>
      <c r="F285" s="7"/>
      <c r="G285" s="7"/>
      <c r="H285" s="7"/>
      <c r="I285" s="7"/>
      <c r="J285" s="7"/>
      <c r="K285" s="7"/>
      <c r="L285" s="7"/>
      <c r="M285" s="7"/>
      <c r="N285" s="7"/>
      <c r="O285" s="7"/>
      <c r="P285" s="7"/>
      <c r="Q285" s="7"/>
      <c r="R285" s="7"/>
      <c r="S285" s="7"/>
      <c r="T285" s="7"/>
      <c r="U285" s="7"/>
      <c r="V285" s="7"/>
      <c r="W285" s="7"/>
      <c r="X285" s="7"/>
      <c r="Y285" s="7"/>
      <c r="Z285" s="7"/>
      <c r="AA285" s="7"/>
      <c r="AB285" s="11"/>
      <c r="AC285" s="11"/>
      <c r="AD285" s="11"/>
      <c r="AE285" s="11"/>
      <c r="AF285" s="11"/>
      <c r="AG285" s="11"/>
      <c r="AH285" s="11"/>
      <c r="AI285" s="11"/>
      <c r="AJ285" s="11"/>
      <c r="AK285" s="11"/>
      <c r="AL285" s="11"/>
    </row>
    <row r="286" spans="1:38" ht="15.75" customHeight="1">
      <c r="A286" s="7"/>
      <c r="B286" s="7"/>
      <c r="C286" s="9"/>
      <c r="D286" s="9"/>
      <c r="E286" s="80"/>
      <c r="F286" s="7"/>
      <c r="G286" s="7"/>
      <c r="H286" s="7"/>
      <c r="I286" s="7"/>
      <c r="J286" s="7"/>
      <c r="K286" s="7"/>
      <c r="L286" s="7"/>
      <c r="M286" s="7"/>
      <c r="N286" s="7"/>
      <c r="O286" s="7"/>
      <c r="P286" s="7"/>
      <c r="Q286" s="7"/>
      <c r="R286" s="7"/>
      <c r="S286" s="7"/>
      <c r="T286" s="7"/>
      <c r="U286" s="7"/>
      <c r="V286" s="7"/>
      <c r="W286" s="7"/>
      <c r="X286" s="7"/>
      <c r="Y286" s="7"/>
      <c r="Z286" s="7"/>
      <c r="AA286" s="7"/>
      <c r="AB286" s="11"/>
      <c r="AC286" s="11"/>
      <c r="AD286" s="11"/>
      <c r="AE286" s="11"/>
      <c r="AF286" s="11"/>
      <c r="AG286" s="11"/>
      <c r="AH286" s="11"/>
      <c r="AI286" s="11"/>
      <c r="AJ286" s="11"/>
      <c r="AK286" s="11"/>
      <c r="AL286" s="11"/>
    </row>
    <row r="287" spans="1:38" ht="15.75" customHeight="1">
      <c r="A287" s="7"/>
      <c r="B287" s="7"/>
      <c r="C287" s="9"/>
      <c r="D287" s="9"/>
      <c r="E287" s="80"/>
      <c r="F287" s="7"/>
      <c r="G287" s="7"/>
      <c r="H287" s="7"/>
      <c r="I287" s="7"/>
      <c r="J287" s="7"/>
      <c r="K287" s="7"/>
      <c r="L287" s="7"/>
      <c r="M287" s="7"/>
      <c r="N287" s="7"/>
      <c r="O287" s="7"/>
      <c r="P287" s="7"/>
      <c r="Q287" s="7"/>
      <c r="R287" s="220"/>
      <c r="S287" s="7"/>
      <c r="T287" s="7"/>
      <c r="U287" s="7"/>
      <c r="V287" s="7"/>
      <c r="W287" s="7"/>
      <c r="X287" s="7"/>
      <c r="Y287" s="7"/>
      <c r="Z287" s="7"/>
      <c r="AA287" s="7"/>
      <c r="AB287" s="11"/>
      <c r="AC287" s="11"/>
      <c r="AD287" s="11"/>
      <c r="AE287" s="11"/>
      <c r="AF287" s="11"/>
      <c r="AG287" s="11"/>
      <c r="AH287" s="11"/>
      <c r="AI287" s="11"/>
      <c r="AJ287" s="11"/>
      <c r="AK287" s="11"/>
      <c r="AL287" s="11"/>
    </row>
    <row r="288" spans="1:38" ht="15.75" customHeight="1">
      <c r="A288" s="7"/>
      <c r="B288" s="7"/>
      <c r="C288" s="9"/>
      <c r="D288" s="9"/>
      <c r="E288" s="80"/>
      <c r="F288" s="7"/>
      <c r="G288" s="7"/>
      <c r="H288" s="7"/>
      <c r="I288" s="7"/>
      <c r="J288" s="7"/>
      <c r="K288" s="7"/>
      <c r="L288" s="7"/>
      <c r="M288" s="7"/>
      <c r="N288" s="7"/>
      <c r="O288" s="7"/>
      <c r="P288" s="7"/>
      <c r="Q288" s="7"/>
      <c r="R288" s="7"/>
      <c r="S288" s="7"/>
      <c r="T288" s="7"/>
      <c r="U288" s="7"/>
      <c r="V288" s="7"/>
      <c r="W288" s="7"/>
      <c r="X288" s="7"/>
      <c r="Y288" s="7"/>
      <c r="Z288" s="7"/>
      <c r="AA288" s="7"/>
      <c r="AB288" s="11"/>
      <c r="AC288" s="11"/>
      <c r="AD288" s="11"/>
      <c r="AE288" s="11"/>
      <c r="AF288" s="11"/>
      <c r="AG288" s="11"/>
      <c r="AH288" s="11"/>
      <c r="AI288" s="11"/>
      <c r="AJ288" s="11"/>
      <c r="AK288" s="11"/>
      <c r="AL288" s="11"/>
    </row>
    <row r="289" spans="1:38" ht="15.75" customHeight="1">
      <c r="A289" s="221"/>
      <c r="B289" s="7"/>
      <c r="C289" s="9"/>
      <c r="D289" s="9"/>
      <c r="E289" s="80"/>
      <c r="F289" s="7"/>
      <c r="G289" s="7"/>
      <c r="H289" s="7"/>
      <c r="I289" s="7"/>
      <c r="J289" s="7"/>
      <c r="K289" s="7"/>
      <c r="L289" s="7"/>
      <c r="M289" s="7"/>
      <c r="N289" s="7"/>
      <c r="O289" s="7"/>
      <c r="P289" s="7"/>
      <c r="Q289" s="7"/>
      <c r="R289" s="220"/>
      <c r="S289" s="7"/>
      <c r="T289" s="7"/>
      <c r="U289" s="7"/>
      <c r="V289" s="7"/>
      <c r="W289" s="7"/>
      <c r="X289" s="7"/>
      <c r="Y289" s="7"/>
      <c r="Z289" s="7"/>
      <c r="AA289" s="7"/>
      <c r="AB289" s="11"/>
      <c r="AC289" s="11"/>
      <c r="AD289" s="11"/>
      <c r="AE289" s="11"/>
      <c r="AF289" s="11"/>
      <c r="AG289" s="11"/>
      <c r="AH289" s="11"/>
      <c r="AI289" s="11"/>
      <c r="AJ289" s="11"/>
      <c r="AK289" s="11"/>
      <c r="AL289" s="11"/>
    </row>
    <row r="290" spans="1:38" ht="15.75" customHeight="1">
      <c r="A290" s="7"/>
      <c r="B290" s="7"/>
      <c r="C290" s="9"/>
      <c r="D290" s="9"/>
      <c r="E290" s="80"/>
      <c r="F290" s="7"/>
      <c r="G290" s="7"/>
      <c r="H290" s="7"/>
      <c r="I290" s="7"/>
      <c r="J290" s="7"/>
      <c r="K290" s="7"/>
      <c r="L290" s="7"/>
      <c r="M290" s="7"/>
      <c r="N290" s="7"/>
      <c r="O290" s="7"/>
      <c r="P290" s="7"/>
      <c r="Q290" s="7"/>
      <c r="R290" s="7"/>
      <c r="S290" s="7"/>
      <c r="T290" s="7"/>
      <c r="U290" s="7"/>
      <c r="V290" s="7"/>
      <c r="W290" s="7"/>
      <c r="X290" s="7"/>
      <c r="Y290" s="7"/>
      <c r="Z290" s="7"/>
      <c r="AA290" s="7"/>
      <c r="AB290" s="11"/>
      <c r="AC290" s="11"/>
      <c r="AD290" s="11"/>
      <c r="AE290" s="11"/>
      <c r="AF290" s="11"/>
      <c r="AG290" s="11"/>
      <c r="AH290" s="11"/>
      <c r="AI290" s="11"/>
      <c r="AJ290" s="11"/>
      <c r="AK290" s="11"/>
      <c r="AL290" s="11"/>
    </row>
    <row r="291" spans="1:38" ht="15.75" customHeight="1">
      <c r="A291" s="7"/>
      <c r="B291" s="7"/>
      <c r="C291" s="9"/>
      <c r="D291" s="9"/>
      <c r="E291" s="80"/>
      <c r="F291" s="7"/>
      <c r="G291" s="7"/>
      <c r="H291" s="7"/>
      <c r="I291" s="7"/>
      <c r="J291" s="7"/>
      <c r="K291" s="7"/>
      <c r="L291" s="7"/>
      <c r="M291" s="7"/>
      <c r="N291" s="7"/>
      <c r="O291" s="7"/>
      <c r="P291" s="7"/>
      <c r="Q291" s="7"/>
      <c r="R291" s="7"/>
      <c r="S291" s="7"/>
      <c r="T291" s="7"/>
      <c r="U291" s="7"/>
      <c r="V291" s="7"/>
      <c r="W291" s="7"/>
      <c r="X291" s="7"/>
      <c r="Y291" s="7"/>
      <c r="Z291" s="7"/>
      <c r="AA291" s="7"/>
      <c r="AB291" s="11"/>
      <c r="AC291" s="11"/>
      <c r="AD291" s="11"/>
      <c r="AE291" s="11"/>
      <c r="AF291" s="11"/>
      <c r="AG291" s="11"/>
      <c r="AH291" s="11"/>
      <c r="AI291" s="11"/>
      <c r="AJ291" s="11"/>
      <c r="AK291" s="11"/>
      <c r="AL291" s="11"/>
    </row>
    <row r="292" spans="1:38" ht="15.75" customHeight="1">
      <c r="A292" s="7"/>
      <c r="B292" s="7"/>
      <c r="C292" s="9"/>
      <c r="D292" s="9"/>
      <c r="E292" s="80"/>
      <c r="F292" s="7"/>
      <c r="G292" s="7"/>
      <c r="H292" s="7"/>
      <c r="I292" s="7"/>
      <c r="J292" s="7"/>
      <c r="K292" s="7"/>
      <c r="L292" s="7"/>
      <c r="M292" s="7"/>
      <c r="N292" s="7"/>
      <c r="O292" s="7"/>
      <c r="P292" s="7"/>
      <c r="Q292" s="7"/>
      <c r="R292" s="7"/>
      <c r="S292" s="7"/>
      <c r="T292" s="7"/>
      <c r="U292" s="7"/>
      <c r="V292" s="7"/>
      <c r="W292" s="7"/>
      <c r="X292" s="7"/>
      <c r="Y292" s="7"/>
      <c r="Z292" s="7"/>
      <c r="AA292" s="7"/>
      <c r="AB292" s="11"/>
      <c r="AC292" s="11"/>
      <c r="AD292" s="11"/>
      <c r="AE292" s="11"/>
      <c r="AF292" s="11"/>
      <c r="AG292" s="11"/>
      <c r="AH292" s="11"/>
      <c r="AI292" s="11"/>
      <c r="AJ292" s="11"/>
      <c r="AK292" s="11"/>
      <c r="AL292" s="11"/>
    </row>
    <row r="293" spans="1:38" ht="15.75" customHeight="1">
      <c r="A293" s="7"/>
      <c r="B293" s="7"/>
      <c r="C293" s="9"/>
      <c r="D293" s="9"/>
      <c r="E293" s="80"/>
      <c r="F293" s="7"/>
      <c r="G293" s="7"/>
      <c r="H293" s="7"/>
      <c r="I293" s="7"/>
      <c r="J293" s="7"/>
      <c r="K293" s="7"/>
      <c r="L293" s="7"/>
      <c r="M293" s="7"/>
      <c r="N293" s="7"/>
      <c r="O293" s="7"/>
      <c r="P293" s="7"/>
      <c r="Q293" s="7"/>
      <c r="R293" s="7"/>
      <c r="S293" s="7"/>
      <c r="T293" s="7"/>
      <c r="U293" s="7"/>
      <c r="V293" s="7"/>
      <c r="W293" s="7"/>
      <c r="X293" s="7"/>
      <c r="Y293" s="7"/>
      <c r="Z293" s="7"/>
      <c r="AA293" s="7"/>
      <c r="AB293" s="11"/>
      <c r="AC293" s="11"/>
      <c r="AD293" s="11"/>
      <c r="AE293" s="11"/>
      <c r="AF293" s="11"/>
      <c r="AG293" s="11"/>
      <c r="AH293" s="11"/>
      <c r="AI293" s="11"/>
      <c r="AJ293" s="11"/>
      <c r="AK293" s="11"/>
      <c r="AL293" s="11"/>
    </row>
    <row r="294" spans="1:38" ht="15.75" customHeight="1">
      <c r="A294" s="7"/>
      <c r="B294" s="8"/>
      <c r="C294" s="9"/>
      <c r="D294" s="10"/>
      <c r="E294" s="80"/>
      <c r="F294" s="8"/>
      <c r="G294" s="8"/>
      <c r="H294" s="8"/>
      <c r="I294" s="7"/>
      <c r="J294" s="8"/>
      <c r="K294" s="8"/>
      <c r="L294" s="8"/>
      <c r="M294" s="8"/>
      <c r="N294" s="8"/>
      <c r="O294" s="8"/>
      <c r="P294" s="8"/>
      <c r="Q294" s="8"/>
      <c r="R294" s="8"/>
      <c r="S294" s="8"/>
      <c r="T294" s="8"/>
      <c r="U294" s="8"/>
      <c r="V294" s="8"/>
      <c r="W294" s="8"/>
      <c r="X294" s="8"/>
      <c r="Y294" s="8"/>
      <c r="Z294" s="8"/>
      <c r="AA294" s="8"/>
      <c r="AB294" s="11"/>
      <c r="AC294" s="11"/>
      <c r="AD294" s="11"/>
      <c r="AE294" s="11"/>
      <c r="AF294" s="11"/>
      <c r="AG294" s="11"/>
      <c r="AH294" s="11"/>
      <c r="AI294" s="11"/>
      <c r="AJ294" s="11"/>
      <c r="AK294" s="11"/>
      <c r="AL294" s="11"/>
    </row>
    <row r="295" spans="1:38" ht="15.75" customHeight="1">
      <c r="A295" s="7"/>
      <c r="B295" s="8"/>
      <c r="C295" s="9"/>
      <c r="D295" s="10"/>
      <c r="E295" s="80"/>
      <c r="F295" s="8"/>
      <c r="G295" s="8"/>
      <c r="H295" s="8"/>
      <c r="I295" s="7"/>
      <c r="J295" s="8"/>
      <c r="K295" s="8"/>
      <c r="L295" s="8"/>
      <c r="M295" s="8"/>
      <c r="N295" s="8"/>
      <c r="O295" s="8"/>
      <c r="P295" s="8"/>
      <c r="Q295" s="8"/>
      <c r="R295" s="8"/>
      <c r="S295" s="8"/>
      <c r="T295" s="8"/>
      <c r="U295" s="8"/>
      <c r="V295" s="8"/>
      <c r="W295" s="8"/>
      <c r="X295" s="8"/>
      <c r="Y295" s="8"/>
      <c r="Z295" s="8"/>
      <c r="AA295" s="8"/>
      <c r="AB295" s="11"/>
      <c r="AC295" s="11"/>
      <c r="AD295" s="11"/>
      <c r="AE295" s="11"/>
      <c r="AF295" s="11"/>
      <c r="AG295" s="11"/>
      <c r="AH295" s="11"/>
      <c r="AI295" s="11"/>
      <c r="AJ295" s="11"/>
      <c r="AK295" s="11"/>
      <c r="AL295" s="11"/>
    </row>
    <row r="296" spans="1:38" ht="15.75" customHeight="1">
      <c r="A296" s="7"/>
      <c r="B296" s="7"/>
      <c r="C296" s="9"/>
      <c r="D296" s="9"/>
      <c r="E296" s="80"/>
      <c r="F296" s="7"/>
      <c r="G296" s="7"/>
      <c r="H296" s="7"/>
      <c r="I296" s="7"/>
      <c r="J296" s="7"/>
      <c r="K296" s="7"/>
      <c r="L296" s="7"/>
      <c r="M296" s="7"/>
      <c r="N296" s="7"/>
      <c r="O296" s="7"/>
      <c r="P296" s="7"/>
      <c r="Q296" s="7"/>
      <c r="R296" s="8"/>
      <c r="S296" s="7"/>
      <c r="T296" s="7"/>
      <c r="U296" s="7"/>
      <c r="V296" s="7"/>
      <c r="W296" s="7"/>
      <c r="X296" s="7"/>
      <c r="Y296" s="7"/>
      <c r="Z296" s="7"/>
      <c r="AA296" s="7"/>
      <c r="AB296" s="11"/>
      <c r="AC296" s="11"/>
      <c r="AD296" s="11"/>
      <c r="AE296" s="11"/>
      <c r="AF296" s="11"/>
      <c r="AG296" s="11"/>
      <c r="AH296" s="11"/>
      <c r="AI296" s="11"/>
      <c r="AJ296" s="11"/>
      <c r="AK296" s="11"/>
      <c r="AL296" s="11"/>
    </row>
    <row r="297" spans="1:38" ht="15.75" customHeight="1">
      <c r="A297" s="7"/>
      <c r="B297" s="7"/>
      <c r="C297" s="9"/>
      <c r="D297" s="9"/>
      <c r="E297" s="80"/>
      <c r="F297" s="7"/>
      <c r="G297" s="7"/>
      <c r="H297" s="7"/>
      <c r="I297" s="7"/>
      <c r="J297" s="7"/>
      <c r="K297" s="7"/>
      <c r="L297" s="7"/>
      <c r="M297" s="8"/>
      <c r="N297" s="7"/>
      <c r="O297" s="7"/>
      <c r="P297" s="7"/>
      <c r="Q297" s="7"/>
      <c r="R297" s="7"/>
      <c r="S297" s="7"/>
      <c r="T297" s="7"/>
      <c r="U297" s="7"/>
      <c r="V297" s="7"/>
      <c r="W297" s="7"/>
      <c r="X297" s="7"/>
      <c r="Y297" s="7"/>
      <c r="Z297" s="7"/>
      <c r="AA297" s="7"/>
      <c r="AB297" s="11"/>
      <c r="AC297" s="11"/>
      <c r="AD297" s="11"/>
      <c r="AE297" s="11"/>
      <c r="AF297" s="11"/>
      <c r="AG297" s="11"/>
      <c r="AH297" s="11"/>
      <c r="AI297" s="11"/>
      <c r="AJ297" s="11"/>
      <c r="AK297" s="11"/>
      <c r="AL297" s="11"/>
    </row>
    <row r="298" spans="1:38" ht="15.75" customHeight="1">
      <c r="A298" s="7"/>
      <c r="B298" s="7"/>
      <c r="C298" s="9"/>
      <c r="D298" s="9"/>
      <c r="E298" s="80"/>
      <c r="F298" s="7"/>
      <c r="G298" s="7"/>
      <c r="H298" s="7"/>
      <c r="I298" s="7"/>
      <c r="J298" s="7"/>
      <c r="K298" s="7"/>
      <c r="L298" s="7"/>
      <c r="M298" s="8"/>
      <c r="N298" s="7"/>
      <c r="O298" s="7"/>
      <c r="P298" s="7"/>
      <c r="Q298" s="7"/>
      <c r="R298" s="7"/>
      <c r="S298" s="7"/>
      <c r="T298" s="7"/>
      <c r="U298" s="7"/>
      <c r="V298" s="7"/>
      <c r="W298" s="7"/>
      <c r="X298" s="7"/>
      <c r="Y298" s="7"/>
      <c r="Z298" s="7"/>
      <c r="AA298" s="7"/>
      <c r="AB298" s="11"/>
      <c r="AC298" s="11"/>
      <c r="AD298" s="11"/>
      <c r="AE298" s="11"/>
      <c r="AF298" s="11"/>
      <c r="AG298" s="11"/>
      <c r="AH298" s="11"/>
      <c r="AI298" s="11"/>
      <c r="AJ298" s="11"/>
      <c r="AK298" s="11"/>
      <c r="AL298" s="11"/>
    </row>
    <row r="299" spans="1:38" ht="15.75" customHeight="1">
      <c r="A299" s="7"/>
      <c r="B299" s="7"/>
      <c r="C299" s="9"/>
      <c r="D299" s="9"/>
      <c r="E299" s="80"/>
      <c r="F299" s="7"/>
      <c r="G299" s="7"/>
      <c r="H299" s="7"/>
      <c r="I299" s="7"/>
      <c r="J299" s="7"/>
      <c r="K299" s="7"/>
      <c r="L299" s="7"/>
      <c r="M299" s="8"/>
      <c r="N299" s="7"/>
      <c r="O299" s="7"/>
      <c r="P299" s="7"/>
      <c r="Q299" s="7"/>
      <c r="R299" s="7"/>
      <c r="S299" s="7"/>
      <c r="T299" s="7"/>
      <c r="U299" s="7"/>
      <c r="V299" s="7"/>
      <c r="W299" s="7"/>
      <c r="X299" s="7"/>
      <c r="Y299" s="7"/>
      <c r="Z299" s="7"/>
      <c r="AA299" s="7"/>
      <c r="AB299" s="11"/>
      <c r="AC299" s="11"/>
      <c r="AD299" s="11"/>
      <c r="AE299" s="11"/>
      <c r="AF299" s="11"/>
      <c r="AG299" s="11"/>
      <c r="AH299" s="11"/>
      <c r="AI299" s="11"/>
      <c r="AJ299" s="11"/>
      <c r="AK299" s="11"/>
      <c r="AL299" s="11"/>
    </row>
    <row r="300" spans="1:38" ht="15.75" customHeight="1">
      <c r="A300" s="7"/>
      <c r="B300" s="7"/>
      <c r="C300" s="9"/>
      <c r="D300" s="9"/>
      <c r="E300" s="80"/>
      <c r="F300" s="7"/>
      <c r="G300" s="7"/>
      <c r="H300" s="7"/>
      <c r="I300" s="7"/>
      <c r="J300" s="7"/>
      <c r="K300" s="7"/>
      <c r="L300" s="7"/>
      <c r="M300" s="8"/>
      <c r="N300" s="7"/>
      <c r="O300" s="7"/>
      <c r="P300" s="7"/>
      <c r="Q300" s="7"/>
      <c r="R300" s="7"/>
      <c r="S300" s="7"/>
      <c r="T300" s="7"/>
      <c r="U300" s="7"/>
      <c r="V300" s="7"/>
      <c r="W300" s="7"/>
      <c r="X300" s="7"/>
      <c r="Y300" s="7"/>
      <c r="Z300" s="7"/>
      <c r="AA300" s="7"/>
      <c r="AB300" s="11"/>
      <c r="AC300" s="11"/>
      <c r="AD300" s="11"/>
      <c r="AE300" s="11"/>
      <c r="AF300" s="11"/>
      <c r="AG300" s="11"/>
      <c r="AH300" s="11"/>
      <c r="AI300" s="11"/>
      <c r="AJ300" s="11"/>
      <c r="AK300" s="11"/>
      <c r="AL300" s="11"/>
    </row>
    <row r="301" spans="1:38" ht="15.75" customHeight="1">
      <c r="A301" s="7"/>
      <c r="B301" s="8"/>
      <c r="C301" s="9"/>
      <c r="D301" s="10"/>
      <c r="E301" s="80"/>
      <c r="F301" s="8"/>
      <c r="G301" s="8"/>
      <c r="H301" s="8"/>
      <c r="I301" s="7"/>
      <c r="J301" s="8"/>
      <c r="K301" s="8"/>
      <c r="L301" s="8"/>
      <c r="M301" s="8"/>
      <c r="N301" s="8"/>
      <c r="O301" s="8"/>
      <c r="P301" s="8"/>
      <c r="Q301" s="8"/>
      <c r="R301" s="8"/>
      <c r="S301" s="8"/>
      <c r="T301" s="8"/>
      <c r="U301" s="8"/>
      <c r="V301" s="8"/>
      <c r="W301" s="8"/>
      <c r="X301" s="8"/>
      <c r="Y301" s="8"/>
      <c r="Z301" s="8"/>
      <c r="AA301" s="8"/>
      <c r="AB301" s="11"/>
      <c r="AC301" s="11"/>
      <c r="AD301" s="11"/>
      <c r="AE301" s="11"/>
      <c r="AF301" s="11"/>
      <c r="AG301" s="11"/>
      <c r="AH301" s="11"/>
      <c r="AI301" s="11"/>
      <c r="AJ301" s="11"/>
      <c r="AK301" s="11"/>
      <c r="AL301" s="11"/>
    </row>
    <row r="302" spans="1:38" ht="15.75" customHeight="1">
      <c r="A302" s="7"/>
      <c r="B302" s="8"/>
      <c r="C302" s="9"/>
      <c r="D302" s="10"/>
      <c r="E302" s="80"/>
      <c r="F302" s="8"/>
      <c r="G302" s="8"/>
      <c r="H302" s="8"/>
      <c r="I302" s="7"/>
      <c r="J302" s="8"/>
      <c r="K302" s="8"/>
      <c r="L302" s="8"/>
      <c r="M302" s="8"/>
      <c r="N302" s="8"/>
      <c r="O302" s="8"/>
      <c r="P302" s="8"/>
      <c r="Q302" s="8"/>
      <c r="R302" s="8"/>
      <c r="S302" s="8"/>
      <c r="T302" s="8"/>
      <c r="U302" s="8"/>
      <c r="V302" s="8"/>
      <c r="W302" s="8"/>
      <c r="X302" s="8"/>
      <c r="Y302" s="8"/>
      <c r="Z302" s="8"/>
      <c r="AA302" s="8"/>
      <c r="AB302" s="11"/>
      <c r="AC302" s="11"/>
      <c r="AD302" s="11"/>
      <c r="AE302" s="11"/>
      <c r="AF302" s="11"/>
      <c r="AG302" s="11"/>
      <c r="AH302" s="11"/>
      <c r="AI302" s="11"/>
      <c r="AJ302" s="11"/>
      <c r="AK302" s="11"/>
      <c r="AL302" s="11"/>
    </row>
    <row r="303" spans="1:38" ht="15.75" customHeight="1"/>
    <row r="304" spans="1:38" ht="15.75" customHeight="1"/>
    <row r="305" spans="1:38" ht="15.75" customHeight="1">
      <c r="A305" s="7"/>
      <c r="B305" s="8"/>
      <c r="C305" s="9"/>
      <c r="D305" s="10"/>
      <c r="E305" s="80"/>
      <c r="F305" s="8"/>
      <c r="G305" s="8"/>
      <c r="H305" s="8"/>
      <c r="I305" s="7"/>
      <c r="J305" s="8"/>
      <c r="K305" s="8"/>
      <c r="L305" s="8"/>
      <c r="M305" s="8"/>
      <c r="N305" s="8"/>
      <c r="O305" s="8"/>
      <c r="P305" s="8"/>
      <c r="Q305" s="8"/>
      <c r="R305" s="8"/>
      <c r="S305" s="8"/>
      <c r="T305" s="8"/>
      <c r="U305" s="8"/>
      <c r="V305" s="8"/>
      <c r="W305" s="8"/>
      <c r="X305" s="8"/>
      <c r="Y305" s="8"/>
      <c r="Z305" s="8"/>
      <c r="AA305" s="8"/>
      <c r="AB305" s="11"/>
      <c r="AC305" s="11"/>
      <c r="AD305" s="11"/>
      <c r="AE305" s="11"/>
      <c r="AF305" s="11"/>
      <c r="AG305" s="11"/>
      <c r="AH305" s="11"/>
      <c r="AI305" s="11"/>
      <c r="AJ305" s="11"/>
      <c r="AK305" s="11"/>
      <c r="AL305" s="11"/>
    </row>
    <row r="306" spans="1:38" ht="15.75" customHeight="1">
      <c r="A306" s="7"/>
      <c r="B306" s="7"/>
      <c r="C306" s="9"/>
      <c r="D306" s="10"/>
      <c r="E306" s="9"/>
      <c r="F306" s="8"/>
      <c r="G306" s="8"/>
      <c r="H306" s="7"/>
      <c r="I306" s="7"/>
      <c r="J306" s="7"/>
      <c r="K306" s="8"/>
      <c r="L306" s="8"/>
      <c r="M306" s="7"/>
      <c r="N306" s="7"/>
      <c r="O306" s="7"/>
      <c r="P306" s="7"/>
      <c r="Q306" s="7"/>
      <c r="R306" s="7"/>
      <c r="S306" s="7"/>
      <c r="T306" s="7"/>
      <c r="U306" s="7"/>
      <c r="V306" s="7"/>
      <c r="W306" s="7"/>
      <c r="X306" s="7"/>
      <c r="Y306" s="7"/>
      <c r="Z306" s="7"/>
      <c r="AA306" s="7"/>
      <c r="AB306" s="11"/>
      <c r="AC306" s="11"/>
      <c r="AD306" s="11"/>
      <c r="AE306" s="11"/>
      <c r="AF306" s="11"/>
      <c r="AG306" s="11"/>
      <c r="AH306" s="11"/>
      <c r="AI306" s="11"/>
      <c r="AJ306" s="11"/>
      <c r="AK306" s="11"/>
      <c r="AL306" s="11"/>
    </row>
    <row r="307" spans="1:38" ht="15.75" customHeight="1">
      <c r="A307" s="7"/>
      <c r="B307" s="7"/>
      <c r="C307" s="9"/>
      <c r="D307" s="10"/>
      <c r="E307" s="9"/>
      <c r="F307" s="8"/>
      <c r="G307" s="8"/>
      <c r="H307" s="7"/>
      <c r="I307" s="7"/>
      <c r="J307" s="7"/>
      <c r="K307" s="8"/>
      <c r="L307" s="8"/>
      <c r="M307" s="7"/>
      <c r="N307" s="7"/>
      <c r="O307" s="7"/>
      <c r="P307" s="7"/>
      <c r="Q307" s="7"/>
      <c r="R307" s="7"/>
      <c r="S307" s="7"/>
      <c r="T307" s="7"/>
      <c r="U307" s="7"/>
      <c r="V307" s="7"/>
      <c r="W307" s="7"/>
      <c r="X307" s="7"/>
      <c r="Y307" s="7"/>
      <c r="Z307" s="7"/>
      <c r="AA307" s="7"/>
      <c r="AB307" s="11"/>
      <c r="AC307" s="11"/>
      <c r="AD307" s="11"/>
      <c r="AE307" s="11"/>
      <c r="AF307" s="11"/>
      <c r="AG307" s="11"/>
      <c r="AH307" s="11"/>
      <c r="AI307" s="11"/>
      <c r="AJ307" s="11"/>
      <c r="AK307" s="11"/>
      <c r="AL307" s="11"/>
    </row>
    <row r="308" spans="1:38" ht="15.75" customHeight="1">
      <c r="A308" s="7"/>
      <c r="B308" s="7"/>
      <c r="C308" s="9"/>
      <c r="D308" s="10"/>
      <c r="E308" s="9"/>
      <c r="F308" s="8"/>
      <c r="G308" s="8"/>
      <c r="H308" s="7"/>
      <c r="I308" s="7"/>
      <c r="J308" s="7"/>
      <c r="K308" s="8"/>
      <c r="L308" s="8"/>
      <c r="M308" s="7"/>
      <c r="N308" s="7"/>
      <c r="O308" s="7"/>
      <c r="P308" s="7"/>
      <c r="Q308" s="7"/>
      <c r="R308" s="7"/>
      <c r="S308" s="7"/>
      <c r="T308" s="7"/>
      <c r="U308" s="7"/>
      <c r="V308" s="7"/>
      <c r="W308" s="7"/>
      <c r="X308" s="7"/>
      <c r="Y308" s="7"/>
      <c r="Z308" s="7"/>
      <c r="AA308" s="7"/>
      <c r="AB308" s="11"/>
      <c r="AC308" s="11"/>
      <c r="AD308" s="11"/>
      <c r="AE308" s="11"/>
      <c r="AF308" s="11"/>
      <c r="AG308" s="11"/>
      <c r="AH308" s="11"/>
      <c r="AI308" s="11"/>
      <c r="AJ308" s="11"/>
      <c r="AK308" s="11"/>
      <c r="AL308" s="11"/>
    </row>
    <row r="309" spans="1:38" ht="15.75" customHeight="1">
      <c r="A309" s="7"/>
      <c r="B309" s="7"/>
      <c r="C309" s="9"/>
      <c r="D309" s="10"/>
      <c r="E309" s="9"/>
      <c r="F309" s="8"/>
      <c r="G309" s="8"/>
      <c r="H309" s="7"/>
      <c r="I309" s="7"/>
      <c r="J309" s="7"/>
      <c r="K309" s="8"/>
      <c r="L309" s="8"/>
      <c r="M309" s="7"/>
      <c r="N309" s="7"/>
      <c r="O309" s="7"/>
      <c r="P309" s="7"/>
      <c r="Q309" s="7"/>
      <c r="R309" s="7"/>
      <c r="S309" s="7"/>
      <c r="T309" s="7"/>
      <c r="U309" s="7"/>
      <c r="V309" s="7"/>
      <c r="W309" s="7"/>
      <c r="X309" s="7"/>
      <c r="Y309" s="7"/>
      <c r="Z309" s="7"/>
      <c r="AA309" s="7"/>
      <c r="AB309" s="11"/>
      <c r="AC309" s="11"/>
      <c r="AD309" s="11"/>
      <c r="AE309" s="11"/>
      <c r="AF309" s="11"/>
      <c r="AG309" s="11"/>
      <c r="AH309" s="11"/>
      <c r="AI309" s="11"/>
      <c r="AJ309" s="11"/>
      <c r="AK309" s="11"/>
      <c r="AL309" s="11"/>
    </row>
    <row r="310" spans="1:38" ht="15.75" customHeight="1">
      <c r="A310" s="7"/>
      <c r="B310" s="7"/>
      <c r="C310" s="9"/>
      <c r="D310" s="10"/>
      <c r="E310" s="9"/>
      <c r="F310" s="8"/>
      <c r="G310" s="8"/>
      <c r="H310" s="7"/>
      <c r="I310" s="7"/>
      <c r="J310" s="7"/>
      <c r="K310" s="8"/>
      <c r="L310" s="8"/>
      <c r="M310" s="7"/>
      <c r="N310" s="7"/>
      <c r="O310" s="7"/>
      <c r="P310" s="7"/>
      <c r="Q310" s="7"/>
      <c r="R310" s="7"/>
      <c r="S310" s="7"/>
      <c r="T310" s="7"/>
      <c r="U310" s="7"/>
      <c r="V310" s="7"/>
      <c r="W310" s="7"/>
      <c r="X310" s="7"/>
      <c r="Y310" s="7"/>
      <c r="Z310" s="7"/>
      <c r="AA310" s="7"/>
      <c r="AB310" s="11"/>
      <c r="AC310" s="11"/>
      <c r="AD310" s="11"/>
      <c r="AE310" s="11"/>
      <c r="AF310" s="11"/>
      <c r="AG310" s="11"/>
      <c r="AH310" s="11"/>
      <c r="AI310" s="11"/>
      <c r="AJ310" s="11"/>
      <c r="AK310" s="11"/>
      <c r="AL310" s="11"/>
    </row>
    <row r="311" spans="1:38" ht="15.75" customHeight="1">
      <c r="A311" s="7"/>
      <c r="B311" s="7"/>
      <c r="C311" s="9"/>
      <c r="D311" s="10"/>
      <c r="E311" s="9"/>
      <c r="F311" s="8"/>
      <c r="G311" s="8"/>
      <c r="H311" s="7"/>
      <c r="I311" s="7"/>
      <c r="J311" s="7"/>
      <c r="K311" s="8"/>
      <c r="L311" s="8"/>
      <c r="M311" s="7"/>
      <c r="N311" s="7"/>
      <c r="O311" s="7"/>
      <c r="P311" s="7"/>
      <c r="Q311" s="7"/>
      <c r="R311" s="7"/>
      <c r="S311" s="7"/>
      <c r="T311" s="7"/>
      <c r="U311" s="7"/>
      <c r="V311" s="7"/>
      <c r="W311" s="7"/>
      <c r="X311" s="7"/>
      <c r="Y311" s="7"/>
      <c r="Z311" s="7"/>
      <c r="AA311" s="7"/>
      <c r="AB311" s="11"/>
      <c r="AC311" s="11"/>
      <c r="AD311" s="11"/>
      <c r="AE311" s="11"/>
      <c r="AF311" s="11"/>
      <c r="AG311" s="11"/>
      <c r="AH311" s="11"/>
      <c r="AI311" s="11"/>
      <c r="AJ311" s="11"/>
      <c r="AK311" s="11"/>
      <c r="AL311" s="11"/>
    </row>
    <row r="312" spans="1:38" ht="15.75" customHeight="1">
      <c r="A312" s="7"/>
      <c r="B312" s="7"/>
      <c r="C312" s="9"/>
      <c r="D312" s="10"/>
      <c r="E312" s="9"/>
      <c r="F312" s="8"/>
      <c r="G312" s="8"/>
      <c r="H312" s="7"/>
      <c r="I312" s="7"/>
      <c r="J312" s="7"/>
      <c r="K312" s="8"/>
      <c r="L312" s="8"/>
      <c r="M312" s="7"/>
      <c r="N312" s="7"/>
      <c r="O312" s="7"/>
      <c r="P312" s="7"/>
      <c r="Q312" s="7"/>
      <c r="R312" s="7"/>
      <c r="S312" s="7"/>
      <c r="T312" s="7"/>
      <c r="U312" s="7"/>
      <c r="V312" s="7"/>
      <c r="W312" s="7"/>
      <c r="X312" s="7"/>
      <c r="Y312" s="7"/>
      <c r="Z312" s="7"/>
      <c r="AA312" s="7"/>
      <c r="AB312" s="11"/>
      <c r="AC312" s="11"/>
      <c r="AD312" s="11"/>
      <c r="AE312" s="11"/>
      <c r="AF312" s="11"/>
      <c r="AG312" s="11"/>
      <c r="AH312" s="11"/>
      <c r="AI312" s="11"/>
      <c r="AJ312" s="11"/>
      <c r="AK312" s="11"/>
      <c r="AL312" s="11"/>
    </row>
    <row r="313" spans="1:38" ht="15.75" customHeight="1">
      <c r="A313" s="7"/>
      <c r="B313" s="7"/>
      <c r="C313" s="9"/>
      <c r="D313" s="10"/>
      <c r="E313" s="9"/>
      <c r="F313" s="8"/>
      <c r="G313" s="8"/>
      <c r="H313" s="7"/>
      <c r="I313" s="7"/>
      <c r="J313" s="7"/>
      <c r="K313" s="8"/>
      <c r="L313" s="8"/>
      <c r="M313" s="7"/>
      <c r="N313" s="7"/>
      <c r="O313" s="7"/>
      <c r="P313" s="7"/>
      <c r="Q313" s="7"/>
      <c r="R313" s="7"/>
      <c r="S313" s="7"/>
      <c r="T313" s="7"/>
      <c r="U313" s="7"/>
      <c r="V313" s="7"/>
      <c r="W313" s="7"/>
      <c r="X313" s="7"/>
      <c r="Y313" s="7"/>
      <c r="Z313" s="7"/>
      <c r="AA313" s="7"/>
      <c r="AB313" s="11"/>
      <c r="AC313" s="11"/>
      <c r="AD313" s="11"/>
      <c r="AE313" s="11"/>
      <c r="AF313" s="11"/>
      <c r="AG313" s="11"/>
      <c r="AH313" s="11"/>
      <c r="AI313" s="11"/>
      <c r="AJ313" s="11"/>
      <c r="AK313" s="11"/>
      <c r="AL313" s="11"/>
    </row>
    <row r="314" spans="1:38" ht="15.75" customHeight="1">
      <c r="A314" s="7"/>
      <c r="B314" s="7"/>
      <c r="C314" s="9"/>
      <c r="D314" s="10"/>
      <c r="E314" s="9"/>
      <c r="F314" s="8"/>
      <c r="G314" s="8"/>
      <c r="H314" s="7"/>
      <c r="I314" s="7"/>
      <c r="J314" s="7"/>
      <c r="K314" s="8"/>
      <c r="L314" s="8"/>
      <c r="M314" s="7"/>
      <c r="N314" s="7"/>
      <c r="O314" s="7"/>
      <c r="P314" s="7"/>
      <c r="Q314" s="7"/>
      <c r="R314" s="7"/>
      <c r="S314" s="7"/>
      <c r="T314" s="7"/>
      <c r="U314" s="7"/>
      <c r="V314" s="7"/>
      <c r="W314" s="7"/>
      <c r="X314" s="7"/>
      <c r="Y314" s="7"/>
      <c r="Z314" s="7"/>
      <c r="AA314" s="7"/>
      <c r="AB314" s="11"/>
      <c r="AC314" s="11"/>
      <c r="AD314" s="11"/>
      <c r="AE314" s="11"/>
      <c r="AF314" s="11"/>
      <c r="AG314" s="11"/>
      <c r="AH314" s="11"/>
      <c r="AI314" s="11"/>
      <c r="AJ314" s="11"/>
      <c r="AK314" s="11"/>
      <c r="AL314" s="11"/>
    </row>
    <row r="315" spans="1:38" ht="15.75" customHeight="1">
      <c r="A315" s="7"/>
      <c r="B315" s="7"/>
      <c r="C315" s="9"/>
      <c r="D315" s="10"/>
      <c r="E315" s="9"/>
      <c r="F315" s="8"/>
      <c r="G315" s="8"/>
      <c r="H315" s="7"/>
      <c r="I315" s="7"/>
      <c r="J315" s="7"/>
      <c r="K315" s="8"/>
      <c r="L315" s="8"/>
      <c r="M315" s="7"/>
      <c r="N315" s="7"/>
      <c r="O315" s="7"/>
      <c r="P315" s="7"/>
      <c r="Q315" s="7"/>
      <c r="R315" s="7"/>
      <c r="S315" s="7"/>
      <c r="T315" s="7"/>
      <c r="U315" s="7"/>
      <c r="V315" s="7"/>
      <c r="W315" s="7"/>
      <c r="X315" s="7"/>
      <c r="Y315" s="7"/>
      <c r="Z315" s="7"/>
      <c r="AA315" s="7"/>
      <c r="AB315" s="11"/>
      <c r="AC315" s="11"/>
      <c r="AD315" s="11"/>
      <c r="AE315" s="11"/>
      <c r="AF315" s="11"/>
      <c r="AG315" s="11"/>
      <c r="AH315" s="11"/>
      <c r="AI315" s="11"/>
      <c r="AJ315" s="11"/>
      <c r="AK315" s="11"/>
      <c r="AL315" s="11"/>
    </row>
    <row r="316" spans="1:38" ht="15.75" customHeight="1">
      <c r="A316" s="7"/>
      <c r="B316" s="7"/>
      <c r="C316" s="9"/>
      <c r="D316" s="10"/>
      <c r="E316" s="9"/>
      <c r="F316" s="8"/>
      <c r="G316" s="8"/>
      <c r="H316" s="7"/>
      <c r="I316" s="7"/>
      <c r="J316" s="7"/>
      <c r="K316" s="8"/>
      <c r="L316" s="8"/>
      <c r="M316" s="7"/>
      <c r="N316" s="7"/>
      <c r="O316" s="7"/>
      <c r="P316" s="7"/>
      <c r="Q316" s="7"/>
      <c r="R316" s="7"/>
      <c r="S316" s="7"/>
      <c r="T316" s="7"/>
      <c r="U316" s="7"/>
      <c r="V316" s="7"/>
      <c r="W316" s="7"/>
      <c r="X316" s="7"/>
      <c r="Y316" s="7"/>
      <c r="Z316" s="7"/>
      <c r="AA316" s="7"/>
      <c r="AB316" s="11"/>
      <c r="AC316" s="11"/>
      <c r="AD316" s="11"/>
      <c r="AE316" s="11"/>
      <c r="AF316" s="11"/>
      <c r="AG316" s="11"/>
      <c r="AH316" s="11"/>
      <c r="AI316" s="11"/>
      <c r="AJ316" s="11"/>
      <c r="AK316" s="11"/>
      <c r="AL316" s="11"/>
    </row>
    <row r="317" spans="1:38" ht="15.75" customHeight="1">
      <c r="A317" s="7"/>
      <c r="B317" s="7"/>
      <c r="C317" s="9"/>
      <c r="D317" s="10"/>
      <c r="E317" s="9"/>
      <c r="F317" s="8"/>
      <c r="G317" s="8"/>
      <c r="H317" s="7"/>
      <c r="I317" s="7"/>
      <c r="J317" s="7"/>
      <c r="K317" s="8"/>
      <c r="L317" s="8"/>
      <c r="M317" s="7"/>
      <c r="N317" s="7"/>
      <c r="O317" s="7"/>
      <c r="P317" s="7"/>
      <c r="Q317" s="7"/>
      <c r="R317" s="7"/>
      <c r="S317" s="7"/>
      <c r="T317" s="7"/>
      <c r="U317" s="7"/>
      <c r="V317" s="7"/>
      <c r="W317" s="7"/>
      <c r="X317" s="7"/>
      <c r="Y317" s="7"/>
      <c r="Z317" s="7"/>
      <c r="AA317" s="7"/>
      <c r="AB317" s="11"/>
      <c r="AC317" s="11"/>
      <c r="AD317" s="11"/>
      <c r="AE317" s="11"/>
      <c r="AF317" s="11"/>
      <c r="AG317" s="11"/>
      <c r="AH317" s="11"/>
      <c r="AI317" s="11"/>
      <c r="AJ317" s="11"/>
      <c r="AK317" s="11"/>
      <c r="AL317" s="11"/>
    </row>
    <row r="318" spans="1:38" ht="15.75" customHeight="1">
      <c r="A318" s="7"/>
      <c r="B318" s="7"/>
      <c r="C318" s="9"/>
      <c r="D318" s="10"/>
      <c r="E318" s="9"/>
      <c r="F318" s="8"/>
      <c r="G318" s="8"/>
      <c r="H318" s="7"/>
      <c r="I318" s="7"/>
      <c r="J318" s="7"/>
      <c r="K318" s="8"/>
      <c r="L318" s="8"/>
      <c r="M318" s="7"/>
      <c r="N318" s="7"/>
      <c r="O318" s="7"/>
      <c r="P318" s="7"/>
      <c r="Q318" s="7"/>
      <c r="R318" s="7"/>
      <c r="S318" s="7"/>
      <c r="T318" s="7"/>
      <c r="U318" s="7"/>
      <c r="V318" s="7"/>
      <c r="W318" s="7"/>
      <c r="X318" s="7"/>
      <c r="Y318" s="7"/>
      <c r="Z318" s="7"/>
      <c r="AA318" s="7"/>
      <c r="AB318" s="11"/>
      <c r="AC318" s="11"/>
      <c r="AD318" s="11"/>
      <c r="AE318" s="11"/>
      <c r="AF318" s="11"/>
      <c r="AG318" s="11"/>
      <c r="AH318" s="11"/>
      <c r="AI318" s="11"/>
      <c r="AJ318" s="11"/>
      <c r="AK318" s="11"/>
      <c r="AL318" s="11"/>
    </row>
    <row r="319" spans="1:38" ht="15.75" customHeight="1">
      <c r="A319" s="7"/>
      <c r="B319" s="7"/>
      <c r="C319" s="9"/>
      <c r="D319" s="10"/>
      <c r="E319" s="9"/>
      <c r="F319" s="8"/>
      <c r="G319" s="8"/>
      <c r="H319" s="7"/>
      <c r="I319" s="7"/>
      <c r="J319" s="7"/>
      <c r="K319" s="8"/>
      <c r="L319" s="8"/>
      <c r="M319" s="7"/>
      <c r="N319" s="7"/>
      <c r="O319" s="7"/>
      <c r="P319" s="7"/>
      <c r="Q319" s="7"/>
      <c r="R319" s="7"/>
      <c r="S319" s="7"/>
      <c r="T319" s="7"/>
      <c r="U319" s="7"/>
      <c r="V319" s="7"/>
      <c r="W319" s="7"/>
      <c r="X319" s="7"/>
      <c r="Y319" s="7"/>
      <c r="Z319" s="7"/>
      <c r="AA319" s="7"/>
      <c r="AB319" s="11"/>
      <c r="AC319" s="11"/>
      <c r="AD319" s="11"/>
      <c r="AE319" s="11"/>
      <c r="AF319" s="11"/>
      <c r="AG319" s="11"/>
      <c r="AH319" s="11"/>
      <c r="AI319" s="11"/>
      <c r="AJ319" s="11"/>
      <c r="AK319" s="11"/>
      <c r="AL319" s="11"/>
    </row>
    <row r="320" spans="1:38" ht="15.75" customHeight="1">
      <c r="A320" s="7"/>
      <c r="B320" s="7"/>
      <c r="C320" s="9"/>
      <c r="D320" s="10"/>
      <c r="E320" s="9"/>
      <c r="F320" s="8"/>
      <c r="G320" s="8"/>
      <c r="H320" s="7"/>
      <c r="I320" s="7"/>
      <c r="J320" s="7"/>
      <c r="K320" s="8"/>
      <c r="L320" s="8"/>
      <c r="M320" s="7"/>
      <c r="N320" s="7"/>
      <c r="O320" s="7"/>
      <c r="P320" s="7"/>
      <c r="Q320" s="7"/>
      <c r="R320" s="7"/>
      <c r="S320" s="7"/>
      <c r="T320" s="7"/>
      <c r="U320" s="7"/>
      <c r="V320" s="7"/>
      <c r="W320" s="7"/>
      <c r="X320" s="7"/>
      <c r="Y320" s="7"/>
      <c r="Z320" s="7"/>
      <c r="AA320" s="7"/>
      <c r="AB320" s="11"/>
      <c r="AC320" s="11"/>
      <c r="AD320" s="11"/>
      <c r="AE320" s="11"/>
      <c r="AF320" s="11"/>
      <c r="AG320" s="11"/>
      <c r="AH320" s="11"/>
      <c r="AI320" s="11"/>
      <c r="AJ320" s="11"/>
      <c r="AK320" s="11"/>
      <c r="AL320" s="11"/>
    </row>
    <row r="321" spans="1:38" ht="15.75" customHeight="1">
      <c r="A321" s="7"/>
      <c r="B321" s="7"/>
      <c r="C321" s="9"/>
      <c r="D321" s="10"/>
      <c r="E321" s="9"/>
      <c r="F321" s="8"/>
      <c r="G321" s="8"/>
      <c r="H321" s="7"/>
      <c r="I321" s="7"/>
      <c r="J321" s="7"/>
      <c r="K321" s="8"/>
      <c r="L321" s="8"/>
      <c r="M321" s="7"/>
      <c r="N321" s="7"/>
      <c r="O321" s="7"/>
      <c r="P321" s="7"/>
      <c r="Q321" s="7"/>
      <c r="R321" s="7"/>
      <c r="S321" s="7"/>
      <c r="T321" s="7"/>
      <c r="U321" s="7"/>
      <c r="V321" s="7"/>
      <c r="W321" s="7"/>
      <c r="X321" s="7"/>
      <c r="Y321" s="7"/>
      <c r="Z321" s="7"/>
      <c r="AA321" s="7"/>
      <c r="AB321" s="11"/>
      <c r="AC321" s="11"/>
      <c r="AD321" s="11"/>
      <c r="AE321" s="11"/>
      <c r="AF321" s="11"/>
      <c r="AG321" s="11"/>
      <c r="AH321" s="11"/>
      <c r="AI321" s="11"/>
      <c r="AJ321" s="11"/>
      <c r="AK321" s="11"/>
      <c r="AL321" s="11"/>
    </row>
    <row r="322" spans="1:38" ht="15.75" customHeight="1">
      <c r="A322" s="7"/>
      <c r="B322" s="7"/>
      <c r="C322" s="9"/>
      <c r="D322" s="10"/>
      <c r="E322" s="9"/>
      <c r="F322" s="8"/>
      <c r="G322" s="8"/>
      <c r="H322" s="7"/>
      <c r="I322" s="7"/>
      <c r="J322" s="7"/>
      <c r="K322" s="8"/>
      <c r="L322" s="8"/>
      <c r="M322" s="7"/>
      <c r="N322" s="7"/>
      <c r="O322" s="7"/>
      <c r="P322" s="7"/>
      <c r="Q322" s="7"/>
      <c r="R322" s="7"/>
      <c r="S322" s="7"/>
      <c r="T322" s="7"/>
      <c r="U322" s="7"/>
      <c r="V322" s="7"/>
      <c r="W322" s="7"/>
      <c r="X322" s="7"/>
      <c r="Y322" s="7"/>
      <c r="Z322" s="7"/>
      <c r="AA322" s="7"/>
      <c r="AB322" s="11"/>
      <c r="AC322" s="11"/>
      <c r="AD322" s="11"/>
      <c r="AE322" s="11"/>
      <c r="AF322" s="11"/>
      <c r="AG322" s="11"/>
      <c r="AH322" s="11"/>
      <c r="AI322" s="11"/>
      <c r="AJ322" s="11"/>
      <c r="AK322" s="11"/>
      <c r="AL322" s="11"/>
    </row>
    <row r="323" spans="1:38" ht="15.75" customHeight="1">
      <c r="A323" s="7"/>
      <c r="B323" s="7"/>
      <c r="C323" s="9"/>
      <c r="D323" s="10"/>
      <c r="E323" s="9"/>
      <c r="F323" s="8"/>
      <c r="G323" s="8"/>
      <c r="H323" s="7"/>
      <c r="I323" s="7"/>
      <c r="J323" s="7"/>
      <c r="K323" s="8"/>
      <c r="L323" s="8"/>
      <c r="M323" s="7"/>
      <c r="N323" s="7"/>
      <c r="O323" s="7"/>
      <c r="P323" s="7"/>
      <c r="Q323" s="7"/>
      <c r="R323" s="7"/>
      <c r="S323" s="7"/>
      <c r="T323" s="7"/>
      <c r="U323" s="7"/>
      <c r="V323" s="7"/>
      <c r="W323" s="7"/>
      <c r="X323" s="7"/>
      <c r="Y323" s="7"/>
      <c r="Z323" s="7"/>
      <c r="AA323" s="7"/>
      <c r="AB323" s="11"/>
      <c r="AC323" s="11"/>
      <c r="AD323" s="11"/>
      <c r="AE323" s="11"/>
      <c r="AF323" s="11"/>
      <c r="AG323" s="11"/>
      <c r="AH323" s="11"/>
      <c r="AI323" s="11"/>
      <c r="AJ323" s="11"/>
      <c r="AK323" s="11"/>
      <c r="AL323" s="11"/>
    </row>
    <row r="324" spans="1:38" ht="15.75" customHeight="1">
      <c r="A324" s="7"/>
      <c r="B324" s="7"/>
      <c r="C324" s="9"/>
      <c r="D324" s="10"/>
      <c r="E324" s="9"/>
      <c r="F324" s="8"/>
      <c r="G324" s="8"/>
      <c r="H324" s="7"/>
      <c r="I324" s="7"/>
      <c r="J324" s="7"/>
      <c r="K324" s="8"/>
      <c r="L324" s="8"/>
      <c r="M324" s="7"/>
      <c r="N324" s="7"/>
      <c r="O324" s="7"/>
      <c r="P324" s="7"/>
      <c r="Q324" s="7"/>
      <c r="R324" s="7"/>
      <c r="S324" s="7"/>
      <c r="T324" s="7"/>
      <c r="U324" s="7"/>
      <c r="V324" s="7"/>
      <c r="W324" s="7"/>
      <c r="X324" s="7"/>
      <c r="Y324" s="7"/>
      <c r="Z324" s="7"/>
      <c r="AA324" s="7"/>
      <c r="AB324" s="11"/>
      <c r="AC324" s="11"/>
      <c r="AD324" s="11"/>
      <c r="AE324" s="11"/>
      <c r="AF324" s="11"/>
      <c r="AG324" s="11"/>
      <c r="AH324" s="11"/>
      <c r="AI324" s="11"/>
      <c r="AJ324" s="11"/>
      <c r="AK324" s="11"/>
      <c r="AL324" s="11"/>
    </row>
    <row r="325" spans="1:38" ht="15.75" customHeight="1">
      <c r="A325" s="7"/>
      <c r="B325" s="7"/>
      <c r="C325" s="9"/>
      <c r="D325" s="10"/>
      <c r="E325" s="9"/>
      <c r="F325" s="8"/>
      <c r="G325" s="8"/>
      <c r="H325" s="7"/>
      <c r="I325" s="7"/>
      <c r="J325" s="7"/>
      <c r="K325" s="8"/>
      <c r="L325" s="8"/>
      <c r="M325" s="7"/>
      <c r="N325" s="7"/>
      <c r="O325" s="7"/>
      <c r="P325" s="7"/>
      <c r="Q325" s="7"/>
      <c r="R325" s="7"/>
      <c r="S325" s="7"/>
      <c r="T325" s="7"/>
      <c r="U325" s="7"/>
      <c r="V325" s="7"/>
      <c r="W325" s="7"/>
      <c r="X325" s="7"/>
      <c r="Y325" s="7"/>
      <c r="Z325" s="7"/>
      <c r="AA325" s="7"/>
      <c r="AB325" s="11"/>
      <c r="AC325" s="11"/>
      <c r="AD325" s="11"/>
      <c r="AE325" s="11"/>
      <c r="AF325" s="11"/>
      <c r="AG325" s="11"/>
      <c r="AH325" s="11"/>
      <c r="AI325" s="11"/>
      <c r="AJ325" s="11"/>
      <c r="AK325" s="11"/>
      <c r="AL325" s="11"/>
    </row>
    <row r="326" spans="1:38" ht="15.75" customHeight="1">
      <c r="A326" s="7"/>
      <c r="B326" s="7"/>
      <c r="C326" s="9"/>
      <c r="D326" s="10"/>
      <c r="E326" s="9"/>
      <c r="F326" s="8"/>
      <c r="G326" s="8"/>
      <c r="H326" s="7"/>
      <c r="I326" s="7"/>
      <c r="J326" s="7"/>
      <c r="K326" s="8"/>
      <c r="L326" s="8"/>
      <c r="M326" s="7"/>
      <c r="N326" s="7"/>
      <c r="O326" s="7"/>
      <c r="P326" s="7"/>
      <c r="Q326" s="7"/>
      <c r="R326" s="7"/>
      <c r="S326" s="7"/>
      <c r="T326" s="7"/>
      <c r="U326" s="7"/>
      <c r="V326" s="7"/>
      <c r="W326" s="7"/>
      <c r="X326" s="7"/>
      <c r="Y326" s="7"/>
      <c r="Z326" s="7"/>
      <c r="AA326" s="7"/>
      <c r="AB326" s="11"/>
      <c r="AC326" s="11"/>
      <c r="AD326" s="11"/>
      <c r="AE326" s="11"/>
      <c r="AF326" s="11"/>
      <c r="AG326" s="11"/>
      <c r="AH326" s="11"/>
      <c r="AI326" s="11"/>
      <c r="AJ326" s="11"/>
      <c r="AK326" s="11"/>
      <c r="AL326" s="11"/>
    </row>
    <row r="327" spans="1:38" ht="15.75" customHeight="1">
      <c r="A327" s="7"/>
      <c r="B327" s="7"/>
      <c r="C327" s="9"/>
      <c r="D327" s="10"/>
      <c r="E327" s="9"/>
      <c r="F327" s="8"/>
      <c r="G327" s="8"/>
      <c r="H327" s="7"/>
      <c r="I327" s="7"/>
      <c r="J327" s="7"/>
      <c r="K327" s="8"/>
      <c r="L327" s="8"/>
      <c r="M327" s="7"/>
      <c r="N327" s="7"/>
      <c r="O327" s="7"/>
      <c r="P327" s="7"/>
      <c r="Q327" s="7"/>
      <c r="R327" s="7"/>
      <c r="S327" s="7"/>
      <c r="T327" s="7"/>
      <c r="U327" s="7"/>
      <c r="V327" s="7"/>
      <c r="W327" s="7"/>
      <c r="X327" s="7"/>
      <c r="Y327" s="7"/>
      <c r="Z327" s="7"/>
      <c r="AA327" s="7"/>
      <c r="AB327" s="11"/>
      <c r="AC327" s="11"/>
      <c r="AD327" s="11"/>
      <c r="AE327" s="11"/>
      <c r="AF327" s="11"/>
      <c r="AG327" s="11"/>
      <c r="AH327" s="11"/>
      <c r="AI327" s="11"/>
      <c r="AJ327" s="11"/>
      <c r="AK327" s="11"/>
      <c r="AL327" s="11"/>
    </row>
    <row r="328" spans="1:38" ht="15.75" customHeight="1">
      <c r="A328" s="7"/>
      <c r="B328" s="7"/>
      <c r="C328" s="9"/>
      <c r="D328" s="10"/>
      <c r="E328" s="9"/>
      <c r="F328" s="8"/>
      <c r="G328" s="8"/>
      <c r="H328" s="7"/>
      <c r="I328" s="7"/>
      <c r="J328" s="7"/>
      <c r="K328" s="8"/>
      <c r="L328" s="8"/>
      <c r="M328" s="7"/>
      <c r="N328" s="7"/>
      <c r="O328" s="7"/>
      <c r="P328" s="7"/>
      <c r="Q328" s="7"/>
      <c r="R328" s="7"/>
      <c r="S328" s="7"/>
      <c r="T328" s="7"/>
      <c r="U328" s="7"/>
      <c r="V328" s="7"/>
      <c r="W328" s="7"/>
      <c r="X328" s="7"/>
      <c r="Y328" s="7"/>
      <c r="Z328" s="7"/>
      <c r="AA328" s="7"/>
      <c r="AB328" s="11"/>
      <c r="AC328" s="11"/>
      <c r="AD328" s="11"/>
      <c r="AE328" s="11"/>
      <c r="AF328" s="11"/>
      <c r="AG328" s="11"/>
      <c r="AH328" s="11"/>
      <c r="AI328" s="11"/>
      <c r="AJ328" s="11"/>
      <c r="AK328" s="11"/>
      <c r="AL328" s="11"/>
    </row>
    <row r="329" spans="1:38" ht="15.75" customHeight="1">
      <c r="A329" s="7"/>
      <c r="B329" s="7"/>
      <c r="C329" s="9"/>
      <c r="D329" s="10"/>
      <c r="E329" s="9"/>
      <c r="F329" s="8"/>
      <c r="G329" s="8"/>
      <c r="H329" s="7"/>
      <c r="I329" s="7"/>
      <c r="J329" s="7"/>
      <c r="K329" s="8"/>
      <c r="L329" s="8"/>
      <c r="M329" s="7"/>
      <c r="N329" s="7"/>
      <c r="O329" s="7"/>
      <c r="P329" s="7"/>
      <c r="Q329" s="7"/>
      <c r="R329" s="7"/>
      <c r="S329" s="7"/>
      <c r="T329" s="7"/>
      <c r="U329" s="7"/>
      <c r="V329" s="7"/>
      <c r="W329" s="7"/>
      <c r="X329" s="7"/>
      <c r="Y329" s="7"/>
      <c r="Z329" s="7"/>
      <c r="AA329" s="7"/>
      <c r="AB329" s="11"/>
      <c r="AC329" s="11"/>
      <c r="AD329" s="11"/>
      <c r="AE329" s="11"/>
      <c r="AF329" s="11"/>
      <c r="AG329" s="11"/>
      <c r="AH329" s="11"/>
      <c r="AI329" s="11"/>
      <c r="AJ329" s="11"/>
      <c r="AK329" s="11"/>
      <c r="AL329" s="11"/>
    </row>
    <row r="330" spans="1:38" ht="15.75" customHeight="1">
      <c r="A330" s="7"/>
      <c r="B330" s="7"/>
      <c r="C330" s="9"/>
      <c r="D330" s="10"/>
      <c r="E330" s="9"/>
      <c r="F330" s="8"/>
      <c r="G330" s="8"/>
      <c r="H330" s="7"/>
      <c r="I330" s="7"/>
      <c r="J330" s="7"/>
      <c r="K330" s="8"/>
      <c r="L330" s="8"/>
      <c r="M330" s="7"/>
      <c r="N330" s="7"/>
      <c r="O330" s="7"/>
      <c r="P330" s="7"/>
      <c r="Q330" s="7"/>
      <c r="R330" s="7"/>
      <c r="S330" s="7"/>
      <c r="T330" s="7"/>
      <c r="U330" s="7"/>
      <c r="V330" s="7"/>
      <c r="W330" s="7"/>
      <c r="X330" s="7"/>
      <c r="Y330" s="7"/>
      <c r="Z330" s="7"/>
      <c r="AA330" s="7"/>
      <c r="AB330" s="11"/>
      <c r="AC330" s="11"/>
      <c r="AD330" s="11"/>
      <c r="AE330" s="11"/>
      <c r="AF330" s="11"/>
      <c r="AG330" s="11"/>
      <c r="AH330" s="11"/>
      <c r="AI330" s="11"/>
      <c r="AJ330" s="11"/>
      <c r="AK330" s="11"/>
      <c r="AL330" s="11"/>
    </row>
    <row r="331" spans="1:38" ht="15.75" customHeight="1">
      <c r="A331" s="7"/>
      <c r="B331" s="7"/>
      <c r="C331" s="9"/>
      <c r="D331" s="10"/>
      <c r="E331" s="9"/>
      <c r="F331" s="8"/>
      <c r="G331" s="8"/>
      <c r="H331" s="7"/>
      <c r="I331" s="7"/>
      <c r="J331" s="7"/>
      <c r="K331" s="8"/>
      <c r="L331" s="8"/>
      <c r="M331" s="7"/>
      <c r="N331" s="7"/>
      <c r="O331" s="7"/>
      <c r="P331" s="7"/>
      <c r="Q331" s="7"/>
      <c r="R331" s="7"/>
      <c r="S331" s="7"/>
      <c r="T331" s="7"/>
      <c r="U331" s="7"/>
      <c r="V331" s="7"/>
      <c r="W331" s="7"/>
      <c r="X331" s="7"/>
      <c r="Y331" s="7"/>
      <c r="Z331" s="7"/>
      <c r="AA331" s="7"/>
      <c r="AB331" s="11"/>
      <c r="AC331" s="11"/>
      <c r="AD331" s="11"/>
      <c r="AE331" s="11"/>
      <c r="AF331" s="11"/>
      <c r="AG331" s="11"/>
      <c r="AH331" s="11"/>
      <c r="AI331" s="11"/>
      <c r="AJ331" s="11"/>
      <c r="AK331" s="11"/>
      <c r="AL331" s="11"/>
    </row>
    <row r="332" spans="1:38" ht="15.75" customHeight="1">
      <c r="A332" s="7"/>
      <c r="B332" s="7"/>
      <c r="C332" s="9"/>
      <c r="D332" s="10"/>
      <c r="E332" s="9"/>
      <c r="F332" s="8"/>
      <c r="G332" s="8"/>
      <c r="H332" s="7"/>
      <c r="I332" s="7"/>
      <c r="J332" s="7"/>
      <c r="K332" s="8"/>
      <c r="L332" s="8"/>
      <c r="M332" s="7"/>
      <c r="N332" s="7"/>
      <c r="O332" s="7"/>
      <c r="P332" s="7"/>
      <c r="Q332" s="7"/>
      <c r="R332" s="7"/>
      <c r="S332" s="7"/>
      <c r="T332" s="7"/>
      <c r="U332" s="7"/>
      <c r="V332" s="7"/>
      <c r="W332" s="7"/>
      <c r="X332" s="7"/>
      <c r="Y332" s="7"/>
      <c r="Z332" s="7"/>
      <c r="AA332" s="7"/>
      <c r="AB332" s="11"/>
      <c r="AC332" s="11"/>
      <c r="AD332" s="11"/>
      <c r="AE332" s="11"/>
      <c r="AF332" s="11"/>
      <c r="AG332" s="11"/>
      <c r="AH332" s="11"/>
      <c r="AI332" s="11"/>
      <c r="AJ332" s="11"/>
      <c r="AK332" s="11"/>
      <c r="AL332" s="11"/>
    </row>
    <row r="333" spans="1:38" ht="15.75" customHeight="1">
      <c r="A333" s="7"/>
      <c r="B333" s="7"/>
      <c r="C333" s="9"/>
      <c r="D333" s="10"/>
      <c r="E333" s="9"/>
      <c r="F333" s="8"/>
      <c r="G333" s="8"/>
      <c r="H333" s="7"/>
      <c r="I333" s="7"/>
      <c r="J333" s="7"/>
      <c r="K333" s="8"/>
      <c r="L333" s="8"/>
      <c r="M333" s="7"/>
      <c r="N333" s="7"/>
      <c r="O333" s="7"/>
      <c r="P333" s="7"/>
      <c r="Q333" s="7"/>
      <c r="R333" s="7"/>
      <c r="S333" s="7"/>
      <c r="T333" s="7"/>
      <c r="U333" s="7"/>
      <c r="V333" s="7"/>
      <c r="W333" s="7"/>
      <c r="X333" s="7"/>
      <c r="Y333" s="7"/>
      <c r="Z333" s="7"/>
      <c r="AA333" s="7"/>
      <c r="AB333" s="11"/>
      <c r="AC333" s="11"/>
      <c r="AD333" s="11"/>
      <c r="AE333" s="11"/>
      <c r="AF333" s="11"/>
      <c r="AG333" s="11"/>
      <c r="AH333" s="11"/>
      <c r="AI333" s="11"/>
      <c r="AJ333" s="11"/>
      <c r="AK333" s="11"/>
      <c r="AL333" s="11"/>
    </row>
    <row r="334" spans="1:38" ht="15.75" customHeight="1">
      <c r="A334" s="7"/>
      <c r="B334" s="7"/>
      <c r="C334" s="9"/>
      <c r="D334" s="10"/>
      <c r="E334" s="9"/>
      <c r="F334" s="8"/>
      <c r="G334" s="8"/>
      <c r="H334" s="7"/>
      <c r="I334" s="7"/>
      <c r="J334" s="7"/>
      <c r="K334" s="8"/>
      <c r="L334" s="8"/>
      <c r="M334" s="7"/>
      <c r="N334" s="7"/>
      <c r="O334" s="7"/>
      <c r="P334" s="7"/>
      <c r="Q334" s="7"/>
      <c r="R334" s="7"/>
      <c r="S334" s="7"/>
      <c r="T334" s="7"/>
      <c r="U334" s="7"/>
      <c r="V334" s="7"/>
      <c r="W334" s="7"/>
      <c r="X334" s="7"/>
      <c r="Y334" s="7"/>
      <c r="Z334" s="7"/>
      <c r="AA334" s="7"/>
      <c r="AB334" s="11"/>
      <c r="AC334" s="11"/>
      <c r="AD334" s="11"/>
      <c r="AE334" s="11"/>
      <c r="AF334" s="11"/>
      <c r="AG334" s="11"/>
      <c r="AH334" s="11"/>
      <c r="AI334" s="11"/>
      <c r="AJ334" s="11"/>
      <c r="AK334" s="11"/>
      <c r="AL334" s="11"/>
    </row>
    <row r="335" spans="1:38" ht="15.75" customHeight="1">
      <c r="A335" s="7"/>
      <c r="B335" s="7"/>
      <c r="C335" s="9"/>
      <c r="D335" s="10"/>
      <c r="E335" s="9"/>
      <c r="F335" s="8"/>
      <c r="G335" s="8"/>
      <c r="H335" s="7"/>
      <c r="I335" s="7"/>
      <c r="J335" s="7"/>
      <c r="K335" s="8"/>
      <c r="L335" s="8"/>
      <c r="M335" s="7"/>
      <c r="N335" s="7"/>
      <c r="O335" s="7"/>
      <c r="P335" s="7"/>
      <c r="Q335" s="7"/>
      <c r="R335" s="7"/>
      <c r="S335" s="7"/>
      <c r="T335" s="7"/>
      <c r="U335" s="7"/>
      <c r="V335" s="7"/>
      <c r="W335" s="7"/>
      <c r="X335" s="7"/>
      <c r="Y335" s="7"/>
      <c r="Z335" s="7"/>
      <c r="AA335" s="7"/>
      <c r="AB335" s="11"/>
      <c r="AC335" s="11"/>
      <c r="AD335" s="11"/>
      <c r="AE335" s="11"/>
      <c r="AF335" s="11"/>
      <c r="AG335" s="11"/>
      <c r="AH335" s="11"/>
      <c r="AI335" s="11"/>
      <c r="AJ335" s="11"/>
      <c r="AK335" s="11"/>
      <c r="AL335" s="11"/>
    </row>
    <row r="336" spans="1:38"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sheetData>
  <conditionalFormatting sqref="A1:H302 J1:AA302 A305:AA1076 I1:I63 I66:I76 I78:I79 I81:I90 I92:I93 I95:I126 I130:I141 I150 I154 I158 I161:I162 I164:I302">
    <cfRule type="expression" dxfId="145" priority="17" stopIfTrue="1">
      <formula>$A1="file"</formula>
    </cfRule>
  </conditionalFormatting>
  <conditionalFormatting sqref="B1:B302 L78 M196 B305:B1076 I1:I63 I66:I76 I78:I79 I81:I90 I92:I93 I95:I126 I130:I141 I150 I154 I158 I161:I162 I164:I302 I305:I1076">
    <cfRule type="expression" dxfId="144" priority="39" stopIfTrue="1">
      <formula>OR(AND(LEFT($A1, 14)="sensor_stream ", LEN($A1)&gt;14, NOT(ISNUMBER(SEARCH(" ", $A1, 15)))), AND(LEFT($A1, 17)="sensor_statistic ", LEN($A1)&gt;17, NOT(ISNUMBER(SEARCH(" ", $A1, 18)))))</formula>
    </cfRule>
  </conditionalFormatting>
  <conditionalFormatting sqref="B1:B302 L78 M196 B305:B1076 R305:R1076 R1:R302">
    <cfRule type="expression" dxfId="143" priority="13" stopIfTrue="1">
      <formula>OR($A1="calculate", $A1="calculate_here")</formula>
    </cfRule>
  </conditionalFormatting>
  <conditionalFormatting sqref="B1:B302 L78 M196 B305:B1076">
    <cfRule type="expression" dxfId="142" priority="38" stopIfTrue="1">
      <formula>$A1="comments"</formula>
    </cfRule>
  </conditionalFormatting>
  <conditionalFormatting sqref="B1:E302 J42:K42 L78 M196 J205:K205 J208:K208 J211:K211 B305:E1076 I1:I63 I66:I76 I78:I79 I81:I90 I92:I93 I95:I126 I130:I141 I150 I154 I158 I161:I162 I164:I302 I305:I1076">
    <cfRule type="expression" dxfId="141" priority="7" stopIfTrue="1">
      <formula>OR(AND(LEFT($A1, 16)="select_multiple ", LEN($A1)&gt;16, NOT(ISNUMBER(SEARCH(" ", $A1, 17)))), AND(LEFT($A1, 11)="select_one ", LEN($A1)&gt;11, NOT(ISNUMBER(SEARCH(" ", $A1, 12)))))</formula>
    </cfRule>
  </conditionalFormatting>
  <conditionalFormatting sqref="B1:E302 J42:K42 L78 M196 J205:K205 J208:K208 J211:K211 B305:E1076">
    <cfRule type="expression" dxfId="140" priority="16" stopIfTrue="1">
      <formula>OR($A1="audio", $A1="video")</formula>
    </cfRule>
    <cfRule type="expression" dxfId="139" priority="10" stopIfTrue="1">
      <formula>$A1="note"</formula>
    </cfRule>
    <cfRule type="expression" dxfId="138" priority="11" stopIfTrue="1">
      <formula>$A1="barcode"</formula>
    </cfRule>
    <cfRule type="expression" dxfId="137" priority="12" stopIfTrue="1">
      <formula>OR($A1="geopoint", $A1="geoshape", $A1="geotrace")</formula>
    </cfRule>
  </conditionalFormatting>
  <conditionalFormatting sqref="B1:E302 L78 M196 B305:E1076 J42:K42 J205:K205 J208:K208 J211:K211 I1:I63 I66:I76 I78:I79 I81:I90 I92:I93 I95:I126 I130:I141 I150 I154 I158 I161:I162 I164:I302 I305:I1076">
    <cfRule type="expression" dxfId="136" priority="14" stopIfTrue="1">
      <formula>OR($A1="date", $A1="datetime", $A1="time")</formula>
    </cfRule>
  </conditionalFormatting>
  <conditionalFormatting sqref="B1:E302 L78 M196 B305:E1076 J42:K42 J205:K205 J208:K208 J211:K211">
    <cfRule type="expression" dxfId="135" priority="9" stopIfTrue="1">
      <formula>$A1="file"</formula>
    </cfRule>
  </conditionalFormatting>
  <conditionalFormatting sqref="B1:E302 M1:M302 J42:K42 L78 J205:K205 J208:K208 J211:K211 B305:E1076 M305:M1076 S1:S302 S305:S1076 R419:R1076">
    <cfRule type="expression" dxfId="134" priority="2" stopIfTrue="1">
      <formula>$A1="begin repeat"</formula>
    </cfRule>
  </conditionalFormatting>
  <conditionalFormatting sqref="B1:G302 J42:K42 L78 M196 J205:K205 J208:K208 J211:K211 B305:G1076 I1:I63 I66:I76 I78:I79 I81:I90 I92:I93 I95:I126 I130:I141 I150 I154 I158 I161:I162 I164:I302 I305:I1076 L31:L32 L34 L39 L49 L56:L72 L76 L148 L152 L156 L221">
    <cfRule type="expression" dxfId="133" priority="3" stopIfTrue="1">
      <formula>$A1="enumerator"</formula>
    </cfRule>
  </conditionalFormatting>
  <conditionalFormatting sqref="B1:G302 J1:L302 M196 B305:G1076 J305:L1076">
    <cfRule type="expression" dxfId="132" priority="5" stopIfTrue="1">
      <formula>$A1="integer"</formula>
    </cfRule>
    <cfRule type="expression" dxfId="131" priority="6" stopIfTrue="1">
      <formula>$A1="decimal"</formula>
    </cfRule>
  </conditionalFormatting>
  <conditionalFormatting sqref="I1:I63 A1:H302 J1:AA302 I66:I76 I78:I79 I81:I90 I92:I93 I95:I126 I130:I141 I150 I154 I158 I161:I162 I164:I302 A305:AA1076">
    <cfRule type="expression" dxfId="130" priority="36" stopIfTrue="1">
      <formula>$A1="end group"</formula>
    </cfRule>
    <cfRule type="expression" dxfId="129" priority="37" stopIfTrue="1">
      <formula>$A1="begin group"</formula>
    </cfRule>
    <cfRule type="expression" dxfId="128" priority="18" stopIfTrue="1">
      <formula>$A1="enumerator"</formula>
    </cfRule>
    <cfRule type="expression" dxfId="127" priority="19" stopIfTrue="1">
      <formula>OR(AND(LEFT($A1, 14)="sensor_stream ", LEN($A1)&gt;14, NOT(ISNUMBER(SEARCH(" ", $A1, 15)))), AND(LEFT($A1, 17)="sensor_statistic ", LEN($A1)&gt;17, NOT(ISNUMBER(SEARCH(" ", $A1, 18)))))</formula>
    </cfRule>
    <cfRule type="expression" dxfId="126" priority="20" stopIfTrue="1">
      <formula>$A1="comments"</formula>
    </cfRule>
    <cfRule type="expression" dxfId="125" priority="21" stopIfTrue="1">
      <formula>OR($A1="audio", $A1="video")</formula>
    </cfRule>
    <cfRule type="expression" dxfId="124" priority="22" stopIfTrue="1">
      <formula>$A1="image"</formula>
    </cfRule>
    <cfRule type="expression" dxfId="123" priority="23" stopIfTrue="1">
      <formula>OR($A1="date", $A1="datetime", $A1="time")</formula>
    </cfRule>
    <cfRule type="expression" dxfId="122" priority="24" stopIfTrue="1">
      <formula>OR($A1="calculate", $A1="calculate_here")</formula>
    </cfRule>
    <cfRule type="expression" dxfId="121" priority="25" stopIfTrue="1">
      <formula>$A1="note"</formula>
    </cfRule>
    <cfRule type="expression" dxfId="120" priority="26" stopIfTrue="1">
      <formula>$A1="barcode"</formula>
    </cfRule>
    <cfRule type="expression" dxfId="119" priority="27" stopIfTrue="1">
      <formula>OR($A1="geopoint", $A1="geoshape", $A1="geotrace")</formula>
    </cfRule>
    <cfRule type="expression" dxfId="118" priority="28" stopIfTrue="1">
      <formula>OR($A1="audio audit", $A1="text audit", $A1="speed violations count", $A1="speed violations list", $A1="speed violations audit")</formula>
    </cfRule>
    <cfRule type="expression" dxfId="117" priority="29" stopIfTrue="1">
      <formula>OR($A1="username", $A1="phonenumber", $A1="start", $A1="end", $A1="deviceid", $A1="subscriberid", $A1="simserial", $A1="caseid")</formula>
    </cfRule>
    <cfRule type="expression" dxfId="116" priority="30" stopIfTrue="1">
      <formula>OR(AND(LEFT($A1, 16)="select_multiple ", LEN($A1)&gt;16, NOT(ISNUMBER(SEARCH(" ", $A1, 17)))), AND(LEFT($A1, 11)="select_one ", LEN($A1)&gt;11, NOT(ISNUMBER(SEARCH(" ", $A1, 12)))))</formula>
    </cfRule>
    <cfRule type="expression" dxfId="115" priority="31" stopIfTrue="1">
      <formula>$A1="decimal"</formula>
    </cfRule>
    <cfRule type="expression" dxfId="114" priority="32" stopIfTrue="1">
      <formula>$A1="integer"</formula>
    </cfRule>
    <cfRule type="expression" dxfId="113" priority="33" stopIfTrue="1">
      <formula>$A1="text"</formula>
    </cfRule>
    <cfRule type="expression" dxfId="112" priority="34" stopIfTrue="1">
      <formula>$A1="end repeat"</formula>
    </cfRule>
    <cfRule type="expression" dxfId="111" priority="35" stopIfTrue="1">
      <formula>$A1="begin repeat"</formula>
    </cfRule>
  </conditionalFormatting>
  <conditionalFormatting sqref="I1:I63 B1:B302 I66:I76 L78 I78:I79 I81:I90 I92:I93 I95:I126 I130:I141 I150 I154 I158 I161:I162 I164:I302 M196 B305:B1076 I305:I1076">
    <cfRule type="expression" dxfId="110" priority="8" stopIfTrue="1">
      <formula>OR($A1="audio audit", $A1="text audit", $A1="speed violations count", $A1="speed violations list", $A1="speed violations audit")</formula>
    </cfRule>
  </conditionalFormatting>
  <conditionalFormatting sqref="I1:I63 B1:E302 J42:K42 I66:I76 L78 I78:I79 I81:I90 I92:I93 I95:I126 I130:I141 I150 I154 I158 I161:I162 I164:I302 M196 J205:K205 J208:K208 J211:K211 B305:E1076 I305:I1076">
    <cfRule type="expression" dxfId="109" priority="15" stopIfTrue="1">
      <formula>$A1="image"</formula>
    </cfRule>
  </conditionalFormatting>
  <conditionalFormatting sqref="I1:I63 B1:E302 M1:M302 J42:K42 I66:I76 L78 I78:I79 I81:I90 I92:I93 I95:I126 I130:I141 I150 I154 I158 I161:I162 I164:I302 J205:K205 J208:K208 J211:K211 B305:E1076 I305:I1076 M305:M1076">
    <cfRule type="expression" dxfId="108" priority="1" stopIfTrue="1">
      <formula>$A1="begin group"</formula>
    </cfRule>
  </conditionalFormatting>
  <conditionalFormatting sqref="I1:I63 B1:G302 L31:L32 L34 L39 J42:K42 L49 L56:L72 I66:I76 L76 L78 I78:I79 I81:I90 I92:I93 I95:I126 I130:I141 L148 I150 L152 I154 L156 I158 I161:I162 I164:I302 M196 J205:K205 J208:K208 J211:K211 L221 B305:G1076 I305:I1076">
    <cfRule type="expression" dxfId="107" priority="4" stopIfTrue="1">
      <formula>$A1="text"</formula>
    </cfRule>
  </conditionalFormatting>
  <conditionalFormatting sqref="I95:I129 I184:I186 I215 I224">
    <cfRule type="expression" dxfId="106" priority="40" stopIfTrue="1">
      <formula>$A95="begin group"</formula>
    </cfRule>
    <cfRule type="expression" dxfId="105" priority="41" stopIfTrue="1">
      <formula>$A95="enumerator"</formula>
    </cfRule>
    <cfRule type="expression" dxfId="104" priority="42" stopIfTrue="1">
      <formula>$A95="text"</formula>
    </cfRule>
    <cfRule type="expression" dxfId="103" priority="43" stopIfTrue="1">
      <formula>OR(AND(LEFT($A95, 16)="select_multiple ", LEN($A95)&gt;16, NOT(ISNUMBER(SEARCH(" ", $A95, 17)))), AND(LEFT($A95, 11)="select_one ", LEN($A95)&gt;11, NOT(ISNUMBER(SEARCH(" ", $A95, 12)))))</formula>
    </cfRule>
    <cfRule type="expression" dxfId="102" priority="44" stopIfTrue="1">
      <formula>OR($A95="audio audit", $A95="text audit", $A95="speed violations count", $A95="speed violations list", $A95="speed violations audit")</formula>
    </cfRule>
    <cfRule type="expression" dxfId="101" priority="45" stopIfTrue="1">
      <formula>OR($A95="date", $A95="datetime", $A95="time")</formula>
    </cfRule>
    <cfRule type="expression" dxfId="100" priority="46" stopIfTrue="1">
      <formula>$A95="image"</formula>
    </cfRule>
    <cfRule type="expression" dxfId="99" priority="47" stopIfTrue="1">
      <formula>$A95="file"</formula>
    </cfRule>
    <cfRule type="expression" dxfId="98" priority="48" stopIfTrue="1">
      <formula>$A95="enumerator"</formula>
    </cfRule>
    <cfRule type="expression" dxfId="97" priority="49" stopIfTrue="1">
      <formula>OR(AND(LEFT($A95, 14)="sensor_stream ", LEN($A95)&gt;14, NOT(ISNUMBER(SEARCH(" ", $A95, 15)))), AND(LEFT($A95, 17)="sensor_statistic ", LEN($A95)&gt;17, NOT(ISNUMBER(SEARCH(" ", $A95, 18)))))</formula>
    </cfRule>
    <cfRule type="expression" dxfId="96" priority="50" stopIfTrue="1">
      <formula>$A95="comments"</formula>
    </cfRule>
    <cfRule type="expression" dxfId="95" priority="51" stopIfTrue="1">
      <formula>OR($A95="audio", $A95="video")</formula>
    </cfRule>
    <cfRule type="expression" dxfId="94" priority="52" stopIfTrue="1">
      <formula>$A95="image"</formula>
    </cfRule>
    <cfRule type="expression" dxfId="93" priority="53" stopIfTrue="1">
      <formula>OR($A95="date", $A95="datetime", $A95="time")</formula>
    </cfRule>
    <cfRule type="expression" dxfId="92" priority="54" stopIfTrue="1">
      <formula>OR($A95="calculate", $A95="calculate_here")</formula>
    </cfRule>
    <cfRule type="expression" dxfId="91" priority="55" stopIfTrue="1">
      <formula>$A95="note"</formula>
    </cfRule>
    <cfRule type="expression" dxfId="90" priority="56" stopIfTrue="1">
      <formula>$A95="barcode"</formula>
    </cfRule>
    <cfRule type="expression" dxfId="89" priority="57" stopIfTrue="1">
      <formula>OR($A95="geopoint", $A95="geoshape", $A95="geotrace")</formula>
    </cfRule>
    <cfRule type="expression" dxfId="88" priority="58" stopIfTrue="1">
      <formula>OR($A95="audio audit", $A95="text audit", $A95="speed violations count", $A95="speed violations list", $A95="speed violations audit")</formula>
    </cfRule>
    <cfRule type="expression" dxfId="87" priority="59" stopIfTrue="1">
      <formula>OR($A95="username", $A95="phonenumber", $A95="start", $A95="end", $A95="deviceid", $A95="subscriberid", $A95="simserial", $A95="caseid")</formula>
    </cfRule>
    <cfRule type="expression" dxfId="86" priority="60" stopIfTrue="1">
      <formula>OR(AND(LEFT($A95, 16)="select_multiple ", LEN($A95)&gt;16, NOT(ISNUMBER(SEARCH(" ", $A95, 17)))), AND(LEFT($A95, 11)="select_one ", LEN($A95)&gt;11, NOT(ISNUMBER(SEARCH(" ", $A95, 12)))))</formula>
    </cfRule>
    <cfRule type="expression" dxfId="85" priority="61" stopIfTrue="1">
      <formula>$A95="decimal"</formula>
    </cfRule>
    <cfRule type="expression" dxfId="84" priority="62" stopIfTrue="1">
      <formula>$A95="integer"</formula>
    </cfRule>
    <cfRule type="expression" dxfId="83" priority="63" stopIfTrue="1">
      <formula>$A95="text"</formula>
    </cfRule>
    <cfRule type="expression" dxfId="82" priority="64" stopIfTrue="1">
      <formula>$A95="end repeat"</formula>
    </cfRule>
    <cfRule type="expression" dxfId="81" priority="65" stopIfTrue="1">
      <formula>$A95="begin repeat"</formula>
    </cfRule>
    <cfRule type="expression" dxfId="80" priority="66" stopIfTrue="1">
      <formula>$A95="end group"</formula>
    </cfRule>
    <cfRule type="expression" dxfId="79" priority="67" stopIfTrue="1">
      <formula>$A95="begin group"</formula>
    </cfRule>
    <cfRule type="expression" dxfId="78" priority="68" stopIfTrue="1">
      <formula>OR(AND(LEFT($A95, 14)="sensor_stream ", LEN($A95)&gt;14, NOT(ISNUMBER(SEARCH(" ", $A95, 15)))), AND(LEFT($A95, 17)="sensor_statistic ", LEN($A95)&gt;17, NOT(ISNUMBER(SEARCH(" ", $A95, 18)))))</formula>
    </cfRule>
  </conditionalFormatting>
  <pageMargins left="0.74791666666666667" right="0.74791666666666667" top="0.98402777777777772" bottom="0.98402777777777772"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03"/>
  <sheetViews>
    <sheetView tabSelected="1" workbookViewId="0">
      <pane ySplit="1" topLeftCell="A373" activePane="bottomLeft" state="frozen"/>
      <selection pane="bottomLeft" activeCell="A379" sqref="A379"/>
    </sheetView>
  </sheetViews>
  <sheetFormatPr defaultColWidth="11.25" defaultRowHeight="15" customHeight="1"/>
  <cols>
    <col min="1" max="1" width="17.58203125" customWidth="1"/>
    <col min="2" max="2" width="14.4140625" customWidth="1"/>
    <col min="3" max="3" width="39.6640625" customWidth="1"/>
    <col min="4" max="4" width="63.25" customWidth="1"/>
    <col min="5" max="30" width="10.75" customWidth="1"/>
  </cols>
  <sheetData>
    <row r="1" spans="1:30" ht="18" customHeight="1">
      <c r="A1" s="222" t="s">
        <v>818</v>
      </c>
      <c r="B1" s="222" t="s">
        <v>819</v>
      </c>
      <c r="C1" s="223" t="s">
        <v>2</v>
      </c>
      <c r="D1" s="222" t="s">
        <v>4</v>
      </c>
      <c r="E1" s="222" t="s">
        <v>820</v>
      </c>
      <c r="F1" s="222" t="s">
        <v>821</v>
      </c>
      <c r="G1" s="6"/>
      <c r="H1" s="6"/>
      <c r="I1" s="6"/>
      <c r="J1" s="6"/>
      <c r="K1" s="6"/>
      <c r="L1" s="6"/>
      <c r="M1" s="6"/>
      <c r="N1" s="6"/>
      <c r="O1" s="6"/>
      <c r="P1" s="6"/>
      <c r="Q1" s="6"/>
      <c r="R1" s="6"/>
      <c r="S1" s="6"/>
      <c r="T1" s="6"/>
      <c r="U1" s="6"/>
      <c r="V1" s="6"/>
      <c r="W1" s="6"/>
      <c r="X1" s="6"/>
      <c r="Y1" s="6"/>
      <c r="Z1" s="6"/>
      <c r="AA1" s="224"/>
      <c r="AB1" s="224"/>
      <c r="AC1" s="224"/>
      <c r="AD1" s="224"/>
    </row>
    <row r="2" spans="1:30" ht="15.75" customHeight="1">
      <c r="A2" s="225" t="s">
        <v>822</v>
      </c>
      <c r="B2" s="225">
        <v>1</v>
      </c>
      <c r="C2" s="225" t="s">
        <v>823</v>
      </c>
      <c r="D2" s="226" t="s">
        <v>824</v>
      </c>
      <c r="E2" s="225"/>
      <c r="F2" s="225"/>
      <c r="G2" s="11"/>
      <c r="H2" s="11"/>
      <c r="I2" s="11"/>
      <c r="J2" s="11"/>
      <c r="K2" s="11"/>
      <c r="L2" s="11"/>
      <c r="M2" s="11"/>
      <c r="N2" s="11"/>
      <c r="O2" s="11"/>
      <c r="P2" s="11"/>
      <c r="Q2" s="11"/>
      <c r="R2" s="11"/>
      <c r="S2" s="11"/>
      <c r="T2" s="11"/>
      <c r="U2" s="11"/>
      <c r="V2" s="11"/>
      <c r="W2" s="11"/>
      <c r="X2" s="11"/>
      <c r="Y2" s="11"/>
      <c r="Z2" s="11"/>
      <c r="AA2" s="11"/>
      <c r="AB2" s="11"/>
      <c r="AC2" s="11"/>
      <c r="AD2" s="11"/>
    </row>
    <row r="3" spans="1:30" ht="15.75" customHeight="1">
      <c r="A3" s="225" t="s">
        <v>822</v>
      </c>
      <c r="B3" s="225">
        <v>0</v>
      </c>
      <c r="C3" s="225" t="s">
        <v>825</v>
      </c>
      <c r="D3" s="210" t="s">
        <v>826</v>
      </c>
      <c r="E3" s="225"/>
      <c r="F3" s="225"/>
      <c r="G3" s="11"/>
      <c r="H3" s="11"/>
      <c r="I3" s="11"/>
      <c r="J3" s="11"/>
      <c r="K3" s="11"/>
      <c r="L3" s="11"/>
      <c r="M3" s="11"/>
      <c r="N3" s="11"/>
      <c r="O3" s="11"/>
      <c r="P3" s="11"/>
      <c r="Q3" s="11"/>
      <c r="R3" s="11"/>
      <c r="S3" s="11"/>
      <c r="T3" s="11"/>
      <c r="U3" s="11"/>
      <c r="V3" s="11"/>
      <c r="W3" s="11"/>
      <c r="X3" s="11"/>
      <c r="Y3" s="11"/>
      <c r="Z3" s="11"/>
      <c r="AA3" s="11"/>
      <c r="AB3" s="11"/>
      <c r="AC3" s="11"/>
      <c r="AD3" s="11"/>
    </row>
    <row r="4" spans="1:30" ht="15.75" customHeight="1">
      <c r="A4" s="225"/>
      <c r="B4" s="225"/>
      <c r="C4" s="225"/>
      <c r="D4" s="11"/>
      <c r="E4" s="225"/>
      <c r="F4" s="225"/>
      <c r="G4" s="11"/>
      <c r="H4" s="11"/>
      <c r="I4" s="11"/>
      <c r="J4" s="11"/>
      <c r="K4" s="11"/>
      <c r="L4" s="11"/>
      <c r="M4" s="11"/>
      <c r="N4" s="11"/>
      <c r="O4" s="11"/>
      <c r="P4" s="11"/>
      <c r="Q4" s="11"/>
      <c r="R4" s="11"/>
      <c r="S4" s="11"/>
      <c r="T4" s="11"/>
      <c r="U4" s="11"/>
      <c r="V4" s="11"/>
      <c r="W4" s="11"/>
      <c r="X4" s="11"/>
      <c r="Y4" s="11"/>
      <c r="Z4" s="11"/>
      <c r="AA4" s="11"/>
      <c r="AB4" s="11"/>
      <c r="AC4" s="11"/>
      <c r="AD4" s="11"/>
    </row>
    <row r="5" spans="1:30" ht="15.75" customHeight="1">
      <c r="A5" s="225" t="s">
        <v>827</v>
      </c>
      <c r="B5" s="225">
        <v>1</v>
      </c>
      <c r="C5" s="225" t="s">
        <v>823</v>
      </c>
      <c r="D5" s="226" t="s">
        <v>824</v>
      </c>
      <c r="E5" s="225"/>
      <c r="F5" s="225"/>
      <c r="G5" s="11"/>
      <c r="H5" s="11"/>
      <c r="I5" s="11"/>
      <c r="J5" s="11"/>
      <c r="K5" s="11"/>
      <c r="L5" s="11"/>
      <c r="M5" s="11"/>
      <c r="N5" s="11"/>
      <c r="O5" s="11"/>
      <c r="P5" s="11"/>
      <c r="Q5" s="11"/>
      <c r="R5" s="11"/>
      <c r="S5" s="11"/>
      <c r="T5" s="11"/>
      <c r="U5" s="11"/>
      <c r="V5" s="11"/>
      <c r="W5" s="11"/>
      <c r="X5" s="11"/>
      <c r="Y5" s="11"/>
      <c r="Z5" s="11"/>
      <c r="AA5" s="11"/>
      <c r="AB5" s="11"/>
      <c r="AC5" s="11"/>
      <c r="AD5" s="11"/>
    </row>
    <row r="6" spans="1:30" ht="15.75" customHeight="1">
      <c r="A6" s="225" t="s">
        <v>827</v>
      </c>
      <c r="B6" s="225">
        <v>0</v>
      </c>
      <c r="C6" s="225" t="s">
        <v>825</v>
      </c>
      <c r="D6" s="210" t="s">
        <v>826</v>
      </c>
      <c r="E6" s="225"/>
      <c r="F6" s="225"/>
      <c r="G6" s="11"/>
      <c r="H6" s="11"/>
      <c r="I6" s="11"/>
      <c r="J6" s="11"/>
      <c r="K6" s="11"/>
      <c r="L6" s="11"/>
      <c r="M6" s="11"/>
      <c r="N6" s="11"/>
      <c r="O6" s="11"/>
      <c r="P6" s="11"/>
      <c r="Q6" s="11"/>
      <c r="R6" s="11"/>
      <c r="S6" s="11"/>
      <c r="T6" s="11"/>
      <c r="U6" s="11"/>
      <c r="V6" s="11"/>
      <c r="W6" s="11"/>
      <c r="X6" s="11"/>
      <c r="Y6" s="11"/>
      <c r="Z6" s="11"/>
      <c r="AA6" s="11"/>
      <c r="AB6" s="11"/>
      <c r="AC6" s="11"/>
      <c r="AD6" s="11"/>
    </row>
    <row r="7" spans="1:30" ht="15.75" customHeight="1">
      <c r="A7" s="225" t="s">
        <v>827</v>
      </c>
      <c r="B7" s="225">
        <v>-98</v>
      </c>
      <c r="C7" s="225" t="s">
        <v>828</v>
      </c>
      <c r="D7" s="225" t="s">
        <v>828</v>
      </c>
      <c r="E7" s="225"/>
      <c r="F7" s="225"/>
      <c r="G7" s="11"/>
      <c r="H7" s="11"/>
      <c r="I7" s="11"/>
      <c r="J7" s="11"/>
      <c r="K7" s="11"/>
      <c r="L7" s="11"/>
      <c r="M7" s="11"/>
      <c r="N7" s="11"/>
      <c r="O7" s="11"/>
      <c r="P7" s="11"/>
      <c r="Q7" s="11"/>
      <c r="R7" s="11"/>
      <c r="S7" s="11"/>
      <c r="T7" s="11"/>
      <c r="U7" s="11"/>
      <c r="V7" s="11"/>
      <c r="W7" s="11"/>
      <c r="X7" s="11"/>
      <c r="Y7" s="11"/>
      <c r="Z7" s="11"/>
      <c r="AA7" s="11"/>
      <c r="AB7" s="11"/>
      <c r="AC7" s="11"/>
      <c r="AD7" s="11"/>
    </row>
    <row r="8" spans="1:30" ht="15.75" customHeight="1">
      <c r="A8" s="225"/>
      <c r="B8" s="225"/>
      <c r="C8" s="225"/>
      <c r="D8" s="11"/>
      <c r="E8" s="225"/>
      <c r="F8" s="225"/>
      <c r="G8" s="11"/>
      <c r="H8" s="11"/>
      <c r="I8" s="11"/>
      <c r="J8" s="11"/>
      <c r="K8" s="11"/>
      <c r="L8" s="11"/>
      <c r="M8" s="11"/>
      <c r="N8" s="11"/>
      <c r="O8" s="11"/>
      <c r="P8" s="11"/>
      <c r="Q8" s="11"/>
      <c r="R8" s="11"/>
      <c r="S8" s="11"/>
      <c r="T8" s="11"/>
      <c r="U8" s="11"/>
      <c r="V8" s="11"/>
      <c r="W8" s="11"/>
      <c r="X8" s="11"/>
      <c r="Y8" s="11"/>
      <c r="Z8" s="11"/>
      <c r="AA8" s="11"/>
      <c r="AB8" s="11"/>
      <c r="AC8" s="11"/>
      <c r="AD8" s="11"/>
    </row>
    <row r="9" spans="1:30" ht="15.75" customHeight="1">
      <c r="A9" s="225" t="s">
        <v>829</v>
      </c>
      <c r="B9" s="225">
        <v>1</v>
      </c>
      <c r="C9" s="225" t="s">
        <v>823</v>
      </c>
      <c r="D9" s="11" t="s">
        <v>824</v>
      </c>
      <c r="E9" s="225"/>
      <c r="F9" s="225"/>
      <c r="G9" s="11"/>
      <c r="H9" s="11"/>
      <c r="I9" s="11"/>
      <c r="J9" s="11"/>
      <c r="K9" s="11"/>
      <c r="L9" s="11"/>
      <c r="M9" s="11"/>
      <c r="N9" s="11"/>
      <c r="O9" s="11"/>
      <c r="P9" s="11"/>
      <c r="Q9" s="11"/>
      <c r="R9" s="11"/>
      <c r="S9" s="11"/>
      <c r="T9" s="11"/>
      <c r="U9" s="11"/>
      <c r="V9" s="11"/>
      <c r="W9" s="11"/>
      <c r="X9" s="11"/>
      <c r="Y9" s="11"/>
      <c r="Z9" s="11"/>
      <c r="AA9" s="11"/>
      <c r="AB9" s="11"/>
      <c r="AC9" s="11"/>
      <c r="AD9" s="11"/>
    </row>
    <row r="10" spans="1:30" ht="15.75" customHeight="1">
      <c r="A10" s="225" t="s">
        <v>829</v>
      </c>
      <c r="B10" s="225">
        <v>0</v>
      </c>
      <c r="C10" s="225" t="s">
        <v>825</v>
      </c>
      <c r="D10" s="11" t="s">
        <v>826</v>
      </c>
      <c r="E10" s="225"/>
      <c r="F10" s="225"/>
      <c r="G10" s="11"/>
      <c r="H10" s="11"/>
      <c r="I10" s="11"/>
      <c r="J10" s="11"/>
      <c r="K10" s="11"/>
      <c r="L10" s="11"/>
      <c r="M10" s="11"/>
      <c r="N10" s="11"/>
      <c r="O10" s="11"/>
      <c r="P10" s="11"/>
      <c r="Q10" s="11"/>
      <c r="R10" s="11"/>
      <c r="S10" s="11"/>
      <c r="T10" s="11"/>
      <c r="U10" s="11"/>
      <c r="V10" s="11"/>
      <c r="W10" s="11"/>
      <c r="X10" s="11"/>
      <c r="Y10" s="11"/>
      <c r="Z10" s="11"/>
      <c r="AA10" s="11"/>
      <c r="AB10" s="11"/>
      <c r="AC10" s="11"/>
      <c r="AD10" s="11"/>
    </row>
    <row r="11" spans="1:30" ht="15.75" customHeight="1">
      <c r="A11" s="225" t="s">
        <v>829</v>
      </c>
      <c r="B11" s="225">
        <v>-97</v>
      </c>
      <c r="C11" s="225" t="s">
        <v>830</v>
      </c>
      <c r="D11" s="11"/>
      <c r="E11" s="225"/>
      <c r="F11" s="225"/>
      <c r="G11" s="11"/>
      <c r="H11" s="11"/>
      <c r="I11" s="11"/>
      <c r="J11" s="11"/>
      <c r="K11" s="11"/>
      <c r="L11" s="11"/>
      <c r="M11" s="11"/>
      <c r="N11" s="11"/>
      <c r="O11" s="11"/>
      <c r="P11" s="11"/>
      <c r="Q11" s="11"/>
      <c r="R11" s="11"/>
      <c r="S11" s="11"/>
      <c r="T11" s="11"/>
      <c r="U11" s="11"/>
      <c r="V11" s="11"/>
      <c r="W11" s="11"/>
      <c r="X11" s="11"/>
      <c r="Y11" s="11"/>
      <c r="Z11" s="11"/>
      <c r="AA11" s="11"/>
      <c r="AB11" s="11"/>
      <c r="AC11" s="11"/>
      <c r="AD11" s="11"/>
    </row>
    <row r="12" spans="1:30" ht="15.75" customHeight="1">
      <c r="A12" s="225"/>
      <c r="B12" s="225"/>
      <c r="C12" s="225"/>
      <c r="D12" s="11"/>
      <c r="E12" s="225"/>
      <c r="F12" s="225"/>
      <c r="G12" s="11"/>
      <c r="H12" s="11"/>
      <c r="I12" s="11"/>
      <c r="J12" s="11"/>
      <c r="K12" s="11"/>
      <c r="L12" s="11"/>
      <c r="M12" s="11"/>
      <c r="N12" s="11"/>
      <c r="O12" s="11"/>
      <c r="P12" s="11"/>
      <c r="Q12" s="11"/>
      <c r="R12" s="11"/>
      <c r="S12" s="11"/>
      <c r="T12" s="11"/>
      <c r="U12" s="11"/>
      <c r="V12" s="11"/>
      <c r="W12" s="11"/>
      <c r="X12" s="11"/>
      <c r="Y12" s="11"/>
      <c r="Z12" s="11"/>
      <c r="AA12" s="11"/>
      <c r="AB12" s="11"/>
      <c r="AC12" s="11"/>
      <c r="AD12" s="11"/>
    </row>
    <row r="13" spans="1:30" ht="15.75" customHeight="1">
      <c r="A13" s="225"/>
      <c r="B13" s="225"/>
      <c r="C13" s="225"/>
      <c r="D13" s="225"/>
      <c r="E13" s="225"/>
      <c r="F13" s="225"/>
      <c r="G13" s="11"/>
      <c r="H13" s="11"/>
      <c r="I13" s="11"/>
      <c r="J13" s="11"/>
      <c r="K13" s="11"/>
      <c r="L13" s="11"/>
      <c r="M13" s="11"/>
      <c r="N13" s="11"/>
      <c r="O13" s="11"/>
      <c r="P13" s="11"/>
      <c r="Q13" s="11"/>
      <c r="R13" s="11"/>
      <c r="S13" s="11"/>
      <c r="T13" s="11"/>
      <c r="U13" s="11"/>
      <c r="V13" s="11"/>
      <c r="W13" s="11"/>
      <c r="X13" s="11"/>
      <c r="Y13" s="11"/>
      <c r="Z13" s="11"/>
      <c r="AA13" s="11"/>
      <c r="AB13" s="11"/>
      <c r="AC13" s="11"/>
      <c r="AD13" s="11"/>
    </row>
    <row r="14" spans="1:30" ht="15.75" customHeight="1">
      <c r="A14" s="227" t="s">
        <v>831</v>
      </c>
      <c r="B14" s="228">
        <v>1</v>
      </c>
      <c r="C14" s="229" t="s">
        <v>832</v>
      </c>
      <c r="D14" s="230" t="s">
        <v>833</v>
      </c>
      <c r="E14" s="229"/>
      <c r="F14" s="229"/>
      <c r="G14" s="22"/>
      <c r="H14" s="22"/>
      <c r="I14" s="22"/>
      <c r="J14" s="22"/>
      <c r="K14" s="22"/>
      <c r="L14" s="22"/>
      <c r="M14" s="22"/>
      <c r="N14" s="22"/>
      <c r="O14" s="22"/>
      <c r="P14" s="22"/>
      <c r="Q14" s="22"/>
      <c r="R14" s="22"/>
      <c r="S14" s="22"/>
      <c r="T14" s="22"/>
      <c r="U14" s="22"/>
      <c r="V14" s="22"/>
      <c r="W14" s="22"/>
      <c r="X14" s="22"/>
      <c r="Y14" s="22"/>
      <c r="Z14" s="22"/>
      <c r="AA14" s="22"/>
      <c r="AB14" s="22"/>
      <c r="AC14" s="22"/>
      <c r="AD14" s="22"/>
    </row>
    <row r="15" spans="1:30" ht="15.75" customHeight="1">
      <c r="A15" s="231" t="s">
        <v>831</v>
      </c>
      <c r="B15" s="232">
        <v>0</v>
      </c>
      <c r="C15" s="233" t="s">
        <v>834</v>
      </c>
      <c r="D15" s="234" t="s">
        <v>835</v>
      </c>
      <c r="E15" s="233"/>
      <c r="F15" s="233"/>
      <c r="G15" s="22"/>
      <c r="H15" s="22"/>
      <c r="I15" s="22"/>
      <c r="J15" s="22"/>
      <c r="K15" s="22"/>
      <c r="L15" s="22"/>
      <c r="M15" s="22"/>
      <c r="N15" s="22"/>
      <c r="O15" s="22"/>
      <c r="P15" s="22"/>
      <c r="Q15" s="22"/>
      <c r="R15" s="22"/>
      <c r="S15" s="22"/>
      <c r="T15" s="22"/>
      <c r="U15" s="22"/>
      <c r="V15" s="22"/>
      <c r="W15" s="22"/>
      <c r="X15" s="22"/>
      <c r="Y15" s="22"/>
      <c r="Z15" s="22"/>
      <c r="AA15" s="22"/>
      <c r="AB15" s="22"/>
      <c r="AC15" s="22"/>
      <c r="AD15" s="22"/>
    </row>
    <row r="16" spans="1:30" ht="15.75" customHeight="1">
      <c r="A16" s="231" t="s">
        <v>831</v>
      </c>
      <c r="B16" s="232">
        <v>2</v>
      </c>
      <c r="C16" s="235" t="s">
        <v>836</v>
      </c>
      <c r="D16" s="236" t="s">
        <v>837</v>
      </c>
      <c r="E16" s="233"/>
      <c r="F16" s="233"/>
      <c r="G16" s="22"/>
      <c r="H16" s="22"/>
      <c r="I16" s="22"/>
      <c r="J16" s="22"/>
      <c r="K16" s="22"/>
      <c r="L16" s="22"/>
      <c r="M16" s="22"/>
      <c r="N16" s="22"/>
      <c r="O16" s="22"/>
      <c r="P16" s="22"/>
      <c r="Q16" s="22"/>
      <c r="R16" s="22"/>
      <c r="S16" s="22"/>
      <c r="T16" s="22"/>
      <c r="U16" s="22"/>
      <c r="V16" s="22"/>
      <c r="W16" s="22"/>
      <c r="X16" s="22"/>
      <c r="Y16" s="22"/>
      <c r="Z16" s="22"/>
      <c r="AA16" s="22"/>
      <c r="AB16" s="22"/>
      <c r="AC16" s="22"/>
      <c r="AD16" s="22"/>
    </row>
    <row r="17" spans="1:30" ht="15.75" customHeight="1">
      <c r="A17" s="231" t="s">
        <v>831</v>
      </c>
      <c r="B17" s="232">
        <v>3</v>
      </c>
      <c r="C17" s="233" t="s">
        <v>838</v>
      </c>
      <c r="D17" s="233" t="s">
        <v>839</v>
      </c>
      <c r="E17" s="233"/>
      <c r="F17" s="233"/>
      <c r="G17" s="22"/>
      <c r="H17" s="22"/>
      <c r="I17" s="22"/>
      <c r="J17" s="22"/>
      <c r="K17" s="22"/>
      <c r="L17" s="22"/>
      <c r="M17" s="22"/>
      <c r="N17" s="22"/>
      <c r="O17" s="22"/>
      <c r="P17" s="22"/>
      <c r="Q17" s="22"/>
      <c r="R17" s="22"/>
      <c r="S17" s="22"/>
      <c r="T17" s="22"/>
      <c r="U17" s="22"/>
      <c r="V17" s="22"/>
      <c r="W17" s="22"/>
      <c r="X17" s="22"/>
      <c r="Y17" s="22"/>
      <c r="Z17" s="22"/>
      <c r="AA17" s="22"/>
      <c r="AB17" s="22"/>
      <c r="AC17" s="22"/>
      <c r="AD17" s="22"/>
    </row>
    <row r="18" spans="1:30" ht="15.75" customHeight="1">
      <c r="A18" s="225"/>
      <c r="B18" s="225"/>
      <c r="C18" s="225"/>
      <c r="D18" s="225"/>
      <c r="E18" s="225"/>
      <c r="F18" s="225"/>
      <c r="G18" s="11"/>
      <c r="H18" s="11"/>
      <c r="I18" s="11"/>
      <c r="J18" s="11"/>
      <c r="K18" s="11"/>
      <c r="L18" s="11"/>
      <c r="M18" s="11"/>
      <c r="N18" s="11"/>
      <c r="O18" s="11"/>
      <c r="P18" s="11"/>
      <c r="Q18" s="11"/>
      <c r="R18" s="11"/>
      <c r="S18" s="11"/>
      <c r="T18" s="11"/>
      <c r="U18" s="11"/>
      <c r="V18" s="11"/>
      <c r="W18" s="11"/>
      <c r="X18" s="11"/>
      <c r="Y18" s="11"/>
      <c r="Z18" s="11"/>
      <c r="AA18" s="11"/>
      <c r="AB18" s="11"/>
      <c r="AC18" s="11"/>
      <c r="AD18" s="11"/>
    </row>
    <row r="19" spans="1:30" ht="15.75" customHeight="1">
      <c r="A19" s="237"/>
      <c r="B19" s="238"/>
      <c r="C19" s="238"/>
      <c r="D19" s="238"/>
      <c r="E19" s="238"/>
      <c r="F19" s="238"/>
      <c r="G19" s="22"/>
      <c r="H19" s="22"/>
      <c r="I19" s="22"/>
      <c r="J19" s="22"/>
      <c r="K19" s="22"/>
      <c r="L19" s="22"/>
      <c r="M19" s="22"/>
      <c r="N19" s="22"/>
      <c r="O19" s="22"/>
      <c r="P19" s="22"/>
      <c r="Q19" s="22"/>
      <c r="R19" s="22"/>
      <c r="S19" s="22"/>
      <c r="T19" s="22"/>
      <c r="U19" s="22"/>
      <c r="V19" s="22"/>
      <c r="W19" s="22"/>
      <c r="X19" s="22"/>
      <c r="Y19" s="22"/>
      <c r="Z19" s="22"/>
      <c r="AA19" s="22"/>
      <c r="AB19" s="22"/>
      <c r="AC19" s="22"/>
      <c r="AD19" s="22"/>
    </row>
    <row r="20" spans="1:30" ht="15.75" customHeight="1">
      <c r="A20" s="239" t="s">
        <v>840</v>
      </c>
      <c r="B20" s="240" t="s">
        <v>67</v>
      </c>
      <c r="C20" s="240" t="s">
        <v>71</v>
      </c>
      <c r="D20" s="240" t="s">
        <v>71</v>
      </c>
      <c r="E20" s="240"/>
      <c r="F20" s="240"/>
      <c r="G20" s="241"/>
      <c r="H20" s="241"/>
      <c r="I20" s="241"/>
      <c r="J20" s="241"/>
      <c r="K20" s="241"/>
      <c r="L20" s="241"/>
      <c r="M20" s="241"/>
      <c r="N20" s="241"/>
      <c r="O20" s="241"/>
      <c r="P20" s="241"/>
      <c r="Q20" s="241"/>
      <c r="R20" s="241"/>
      <c r="S20" s="241"/>
      <c r="T20" s="241"/>
      <c r="U20" s="241"/>
      <c r="V20" s="241"/>
      <c r="W20" s="241"/>
      <c r="X20" s="241"/>
      <c r="Y20" s="241"/>
      <c r="Z20" s="241"/>
      <c r="AA20" s="22"/>
      <c r="AB20" s="22"/>
      <c r="AC20" s="22"/>
      <c r="AD20" s="22"/>
    </row>
    <row r="21" spans="1:30" ht="15.75" customHeight="1">
      <c r="A21" s="242"/>
      <c r="B21" s="243"/>
      <c r="C21" s="243"/>
      <c r="D21" s="243"/>
      <c r="E21" s="243"/>
      <c r="F21" s="243"/>
      <c r="G21" s="11"/>
      <c r="H21" s="11"/>
      <c r="I21" s="11"/>
      <c r="J21" s="11"/>
      <c r="K21" s="11"/>
      <c r="L21" s="11"/>
      <c r="M21" s="11"/>
      <c r="N21" s="11"/>
      <c r="O21" s="11"/>
      <c r="P21" s="11"/>
      <c r="Q21" s="11"/>
      <c r="R21" s="11"/>
      <c r="S21" s="11"/>
      <c r="T21" s="11"/>
      <c r="U21" s="11"/>
      <c r="V21" s="11"/>
      <c r="W21" s="11"/>
      <c r="X21" s="11"/>
      <c r="Y21" s="11"/>
      <c r="Z21" s="11"/>
      <c r="AA21" s="11"/>
      <c r="AB21" s="11"/>
      <c r="AC21" s="11"/>
      <c r="AD21" s="11"/>
    </row>
    <row r="22" spans="1:30" ht="15.75" customHeight="1">
      <c r="A22" s="242" t="s">
        <v>841</v>
      </c>
      <c r="B22" s="243" t="s">
        <v>59</v>
      </c>
      <c r="C22" s="243" t="s">
        <v>63</v>
      </c>
      <c r="D22" s="243" t="s">
        <v>63</v>
      </c>
      <c r="E22" s="243"/>
      <c r="F22" s="243"/>
      <c r="G22" s="11"/>
      <c r="H22" s="11"/>
      <c r="I22" s="11"/>
      <c r="J22" s="11"/>
      <c r="K22" s="11"/>
      <c r="L22" s="11"/>
      <c r="M22" s="11"/>
      <c r="N22" s="11"/>
      <c r="O22" s="11"/>
      <c r="P22" s="11"/>
      <c r="Q22" s="11"/>
      <c r="R22" s="11"/>
      <c r="S22" s="11"/>
      <c r="T22" s="11"/>
      <c r="U22" s="11"/>
      <c r="V22" s="11"/>
      <c r="W22" s="11"/>
      <c r="X22" s="11"/>
      <c r="Y22" s="11"/>
      <c r="Z22" s="11"/>
      <c r="AA22" s="11"/>
      <c r="AB22" s="11"/>
      <c r="AC22" s="11"/>
      <c r="AD22" s="11"/>
    </row>
    <row r="23" spans="1:30" ht="15.75" customHeight="1">
      <c r="A23" s="242"/>
      <c r="B23" s="243"/>
      <c r="C23" s="243"/>
      <c r="D23" s="243"/>
      <c r="E23" s="243"/>
      <c r="F23" s="243"/>
      <c r="G23" s="11"/>
      <c r="H23" s="11"/>
      <c r="I23" s="11"/>
      <c r="J23" s="11"/>
      <c r="K23" s="11"/>
      <c r="L23" s="11"/>
      <c r="M23" s="11"/>
      <c r="N23" s="11"/>
      <c r="O23" s="11"/>
      <c r="P23" s="11"/>
      <c r="Q23" s="11"/>
      <c r="R23" s="11"/>
      <c r="S23" s="11"/>
      <c r="T23" s="11"/>
      <c r="U23" s="11"/>
      <c r="V23" s="11"/>
      <c r="W23" s="11"/>
      <c r="X23" s="11"/>
      <c r="Y23" s="11"/>
      <c r="Z23" s="11"/>
      <c r="AA23" s="11"/>
      <c r="AB23" s="11"/>
      <c r="AC23" s="11"/>
      <c r="AD23" s="11"/>
    </row>
    <row r="24" spans="1:30" ht="15.75" customHeight="1">
      <c r="A24" s="242" t="s">
        <v>842</v>
      </c>
      <c r="B24" s="243" t="s">
        <v>50</v>
      </c>
      <c r="C24" s="243" t="s">
        <v>55</v>
      </c>
      <c r="D24" s="243" t="s">
        <v>55</v>
      </c>
      <c r="E24" s="243"/>
      <c r="F24" s="243"/>
      <c r="G24" s="11"/>
      <c r="H24" s="11"/>
      <c r="I24" s="11"/>
      <c r="J24" s="11"/>
      <c r="K24" s="11"/>
      <c r="L24" s="11"/>
      <c r="M24" s="11"/>
      <c r="N24" s="11"/>
      <c r="O24" s="11"/>
      <c r="P24" s="11"/>
      <c r="Q24" s="11"/>
      <c r="R24" s="11"/>
      <c r="S24" s="11"/>
      <c r="T24" s="11"/>
      <c r="U24" s="11"/>
      <c r="V24" s="11"/>
      <c r="W24" s="11"/>
      <c r="X24" s="11"/>
      <c r="Y24" s="11"/>
      <c r="Z24" s="11"/>
      <c r="AA24" s="11"/>
      <c r="AB24" s="11"/>
      <c r="AC24" s="11"/>
      <c r="AD24" s="11"/>
    </row>
    <row r="25" spans="1:30" ht="15.75" customHeight="1">
      <c r="A25" s="242"/>
      <c r="B25" s="243"/>
      <c r="C25" s="243"/>
      <c r="D25" s="243"/>
      <c r="E25" s="243"/>
      <c r="F25" s="243"/>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ht="15.75" customHeight="1">
      <c r="A26" s="242"/>
      <c r="B26" s="243"/>
      <c r="C26" s="243"/>
      <c r="D26" s="243"/>
      <c r="E26" s="243"/>
      <c r="F26" s="243"/>
      <c r="G26" s="11"/>
      <c r="H26" s="11"/>
      <c r="I26" s="11"/>
      <c r="J26" s="11"/>
      <c r="K26" s="11"/>
      <c r="L26" s="11"/>
      <c r="M26" s="11"/>
      <c r="N26" s="11"/>
      <c r="O26" s="11"/>
      <c r="P26" s="11"/>
      <c r="Q26" s="11"/>
      <c r="R26" s="11"/>
      <c r="S26" s="11"/>
      <c r="T26" s="11"/>
      <c r="U26" s="11"/>
      <c r="V26" s="11"/>
      <c r="W26" s="11"/>
      <c r="X26" s="11"/>
      <c r="Y26" s="11"/>
      <c r="Z26" s="11"/>
      <c r="AA26" s="11"/>
      <c r="AB26" s="11"/>
      <c r="AC26" s="11"/>
      <c r="AD26" s="11"/>
    </row>
    <row r="27" spans="1:30" ht="15.75" customHeight="1">
      <c r="A27" s="242" t="s">
        <v>843</v>
      </c>
      <c r="B27" s="243">
        <v>1</v>
      </c>
      <c r="C27" s="243" t="s">
        <v>844</v>
      </c>
      <c r="D27" s="183" t="s">
        <v>845</v>
      </c>
      <c r="E27" s="243"/>
      <c r="F27" s="243"/>
      <c r="G27" s="11"/>
      <c r="H27" s="11"/>
      <c r="I27" s="11"/>
      <c r="J27" s="11"/>
      <c r="K27" s="11"/>
      <c r="L27" s="11"/>
      <c r="M27" s="11"/>
      <c r="N27" s="11"/>
      <c r="O27" s="11"/>
      <c r="P27" s="11"/>
      <c r="Q27" s="11"/>
      <c r="R27" s="11"/>
      <c r="S27" s="11"/>
      <c r="T27" s="11"/>
      <c r="U27" s="11"/>
      <c r="V27" s="11"/>
      <c r="W27" s="11"/>
      <c r="X27" s="11"/>
      <c r="Y27" s="11"/>
      <c r="Z27" s="11"/>
      <c r="AA27" s="11"/>
      <c r="AB27" s="11"/>
      <c r="AC27" s="11"/>
      <c r="AD27" s="11"/>
    </row>
    <row r="28" spans="1:30" ht="15.75" customHeight="1">
      <c r="A28" s="242" t="s">
        <v>843</v>
      </c>
      <c r="B28" s="225">
        <v>2</v>
      </c>
      <c r="C28" s="225" t="s">
        <v>846</v>
      </c>
      <c r="D28" s="183" t="s">
        <v>847</v>
      </c>
      <c r="E28" s="225"/>
      <c r="F28" s="225"/>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spans="1:30" ht="15.75" customHeight="1">
      <c r="A29" s="242" t="s">
        <v>843</v>
      </c>
      <c r="B29" s="225">
        <v>3</v>
      </c>
      <c r="C29" s="225" t="s">
        <v>848</v>
      </c>
      <c r="D29" s="183" t="s">
        <v>849</v>
      </c>
      <c r="E29" s="225"/>
      <c r="F29" s="225"/>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spans="1:30" ht="15.75" customHeight="1">
      <c r="A30" s="242" t="s">
        <v>843</v>
      </c>
      <c r="B30" s="225">
        <v>4</v>
      </c>
      <c r="C30" s="225" t="s">
        <v>850</v>
      </c>
      <c r="D30" s="183" t="s">
        <v>851</v>
      </c>
      <c r="E30" s="225"/>
      <c r="F30" s="225"/>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spans="1:30" ht="15.75" customHeight="1">
      <c r="A31" s="242" t="s">
        <v>843</v>
      </c>
      <c r="B31" s="225">
        <v>5</v>
      </c>
      <c r="C31" s="225" t="s">
        <v>852</v>
      </c>
      <c r="D31" s="183" t="s">
        <v>853</v>
      </c>
      <c r="E31" s="225"/>
      <c r="F31" s="225"/>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spans="1:30" ht="15.75" customHeight="1">
      <c r="A32" s="242" t="s">
        <v>843</v>
      </c>
      <c r="B32" s="225">
        <v>6</v>
      </c>
      <c r="C32" s="225" t="s">
        <v>854</v>
      </c>
      <c r="D32" s="225" t="s">
        <v>855</v>
      </c>
      <c r="E32" s="225"/>
      <c r="F32" s="225"/>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spans="1:30" ht="15.75" customHeight="1">
      <c r="A33" s="242" t="s">
        <v>843</v>
      </c>
      <c r="B33" s="225">
        <v>7</v>
      </c>
      <c r="C33" s="225" t="s">
        <v>856</v>
      </c>
      <c r="D33" s="183" t="s">
        <v>857</v>
      </c>
      <c r="E33" s="225"/>
      <c r="F33" s="225"/>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spans="1:30" ht="15.75" customHeight="1">
      <c r="A34" s="242" t="s">
        <v>843</v>
      </c>
      <c r="B34" s="225">
        <v>8</v>
      </c>
      <c r="C34" s="225" t="s">
        <v>858</v>
      </c>
      <c r="D34" s="225" t="s">
        <v>859</v>
      </c>
      <c r="E34" s="225"/>
      <c r="F34" s="225"/>
      <c r="G34" s="11"/>
      <c r="H34" s="11"/>
      <c r="I34" s="11"/>
      <c r="J34" s="11"/>
      <c r="K34" s="11"/>
      <c r="L34" s="11"/>
      <c r="M34" s="11"/>
      <c r="N34" s="11"/>
      <c r="O34" s="11"/>
      <c r="P34" s="11"/>
      <c r="Q34" s="11"/>
      <c r="R34" s="11"/>
      <c r="S34" s="11"/>
      <c r="T34" s="11"/>
      <c r="U34" s="11"/>
      <c r="V34" s="11"/>
      <c r="W34" s="11"/>
      <c r="X34" s="11"/>
      <c r="Y34" s="11"/>
      <c r="Z34" s="11"/>
      <c r="AA34" s="11"/>
      <c r="AB34" s="11"/>
      <c r="AC34" s="11"/>
      <c r="AD34" s="11"/>
    </row>
    <row r="35" spans="1:30" ht="15.75" customHeight="1">
      <c r="A35" s="242" t="s">
        <v>843</v>
      </c>
      <c r="B35" s="225">
        <v>9</v>
      </c>
      <c r="C35" s="225" t="s">
        <v>860</v>
      </c>
      <c r="D35" s="225" t="s">
        <v>861</v>
      </c>
      <c r="E35" s="225"/>
      <c r="F35" s="225"/>
      <c r="G35" s="11"/>
      <c r="H35" s="11"/>
      <c r="I35" s="11"/>
      <c r="J35" s="11"/>
      <c r="K35" s="11"/>
      <c r="L35" s="11"/>
      <c r="M35" s="11"/>
      <c r="N35" s="11"/>
      <c r="O35" s="11"/>
      <c r="P35" s="11"/>
      <c r="Q35" s="11"/>
      <c r="R35" s="11"/>
      <c r="S35" s="11"/>
      <c r="T35" s="11"/>
      <c r="U35" s="11"/>
      <c r="V35" s="11"/>
      <c r="W35" s="11"/>
      <c r="X35" s="11"/>
      <c r="Y35" s="11"/>
      <c r="Z35" s="11"/>
      <c r="AA35" s="11"/>
      <c r="AB35" s="11"/>
      <c r="AC35" s="11"/>
      <c r="AD35" s="11"/>
    </row>
    <row r="36" spans="1:30" ht="15.75" customHeight="1">
      <c r="A36" s="242" t="s">
        <v>843</v>
      </c>
      <c r="B36" s="225">
        <v>-96</v>
      </c>
      <c r="C36" s="225" t="s">
        <v>862</v>
      </c>
      <c r="D36" s="226" t="s">
        <v>168</v>
      </c>
      <c r="E36" s="225"/>
      <c r="F36" s="225"/>
      <c r="G36" s="11"/>
      <c r="H36" s="11"/>
      <c r="I36" s="11"/>
      <c r="J36" s="11"/>
      <c r="K36" s="11"/>
      <c r="L36" s="11"/>
      <c r="M36" s="11"/>
      <c r="N36" s="11"/>
      <c r="O36" s="11"/>
      <c r="P36" s="11"/>
      <c r="Q36" s="11"/>
      <c r="R36" s="11"/>
      <c r="S36" s="11"/>
      <c r="T36" s="11"/>
      <c r="U36" s="11"/>
      <c r="V36" s="11"/>
      <c r="W36" s="11"/>
      <c r="X36" s="11"/>
      <c r="Y36" s="11"/>
      <c r="Z36" s="11"/>
      <c r="AA36" s="11"/>
      <c r="AB36" s="11"/>
      <c r="AC36" s="11"/>
      <c r="AD36" s="11"/>
    </row>
    <row r="37" spans="1:30" ht="15.75" customHeight="1">
      <c r="A37" s="225"/>
      <c r="B37" s="225"/>
      <c r="C37" s="225"/>
      <c r="D37" s="225"/>
      <c r="E37" s="225"/>
      <c r="F37" s="225"/>
      <c r="G37" s="11"/>
      <c r="H37" s="11"/>
      <c r="I37" s="11"/>
      <c r="J37" s="11"/>
      <c r="K37" s="11"/>
      <c r="L37" s="11"/>
      <c r="M37" s="11"/>
      <c r="N37" s="11"/>
      <c r="O37" s="11"/>
      <c r="P37" s="11"/>
      <c r="Q37" s="11"/>
      <c r="R37" s="11"/>
      <c r="S37" s="11"/>
      <c r="T37" s="11"/>
      <c r="U37" s="11"/>
      <c r="V37" s="11"/>
      <c r="W37" s="11"/>
      <c r="X37" s="11"/>
      <c r="Y37" s="11"/>
      <c r="Z37" s="11"/>
      <c r="AA37" s="11"/>
      <c r="AB37" s="11"/>
      <c r="AC37" s="11"/>
      <c r="AD37" s="11"/>
    </row>
    <row r="38" spans="1:30" ht="15.75" customHeight="1">
      <c r="A38" s="225" t="s">
        <v>863</v>
      </c>
      <c r="B38" s="225">
        <v>1</v>
      </c>
      <c r="C38" s="244" t="s">
        <v>864</v>
      </c>
      <c r="D38" s="245" t="s">
        <v>865</v>
      </c>
      <c r="E38" s="225"/>
      <c r="F38" s="225"/>
      <c r="G38" s="11"/>
      <c r="H38" s="11"/>
      <c r="I38" s="11"/>
      <c r="J38" s="11"/>
      <c r="K38" s="11"/>
      <c r="L38" s="11"/>
      <c r="M38" s="11"/>
      <c r="N38" s="11"/>
      <c r="O38" s="11"/>
      <c r="P38" s="11"/>
      <c r="Q38" s="11"/>
      <c r="R38" s="11"/>
      <c r="S38" s="11"/>
      <c r="T38" s="11"/>
      <c r="U38" s="11"/>
      <c r="V38" s="11"/>
      <c r="W38" s="11"/>
      <c r="X38" s="11"/>
      <c r="Y38" s="11"/>
      <c r="Z38" s="11"/>
      <c r="AA38" s="11"/>
      <c r="AB38" s="11"/>
      <c r="AC38" s="11"/>
      <c r="AD38" s="11"/>
    </row>
    <row r="39" spans="1:30" ht="15.75" customHeight="1">
      <c r="A39" s="225" t="s">
        <v>863</v>
      </c>
      <c r="B39" s="225">
        <f t="shared" ref="B39:B60" si="0">1+B38</f>
        <v>2</v>
      </c>
      <c r="C39" s="9" t="s">
        <v>866</v>
      </c>
      <c r="D39" s="246" t="s">
        <v>867</v>
      </c>
      <c r="E39" s="225"/>
      <c r="F39" s="225"/>
      <c r="G39" s="11"/>
      <c r="H39" s="11"/>
      <c r="I39" s="11"/>
      <c r="J39" s="11"/>
      <c r="K39" s="11"/>
      <c r="L39" s="11"/>
      <c r="M39" s="11"/>
      <c r="N39" s="11"/>
      <c r="O39" s="11"/>
      <c r="P39" s="11"/>
      <c r="Q39" s="11"/>
      <c r="R39" s="11"/>
      <c r="S39" s="11"/>
      <c r="T39" s="11"/>
      <c r="U39" s="11"/>
      <c r="V39" s="11"/>
      <c r="W39" s="11"/>
      <c r="X39" s="11"/>
      <c r="Y39" s="11"/>
      <c r="Z39" s="11"/>
      <c r="AA39" s="11"/>
      <c r="AB39" s="11"/>
      <c r="AC39" s="11"/>
      <c r="AD39" s="11"/>
    </row>
    <row r="40" spans="1:30" ht="15.75" customHeight="1">
      <c r="A40" s="225" t="s">
        <v>863</v>
      </c>
      <c r="B40" s="225">
        <f t="shared" si="0"/>
        <v>3</v>
      </c>
      <c r="C40" s="9" t="s">
        <v>868</v>
      </c>
      <c r="D40" s="246" t="s">
        <v>869</v>
      </c>
      <c r="E40" s="225"/>
      <c r="F40" s="225"/>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spans="1:30" ht="15.75" customHeight="1">
      <c r="A41" s="225" t="s">
        <v>863</v>
      </c>
      <c r="B41" s="225">
        <f t="shared" si="0"/>
        <v>4</v>
      </c>
      <c r="C41" s="9" t="s">
        <v>870</v>
      </c>
      <c r="D41" s="246" t="s">
        <v>871</v>
      </c>
      <c r="E41" s="225"/>
      <c r="F41" s="225"/>
      <c r="G41" s="11"/>
      <c r="H41" s="11"/>
      <c r="I41" s="11"/>
      <c r="J41" s="11"/>
      <c r="K41" s="11"/>
      <c r="L41" s="11"/>
      <c r="M41" s="11"/>
      <c r="N41" s="11"/>
      <c r="O41" s="11"/>
      <c r="P41" s="11"/>
      <c r="Q41" s="11"/>
      <c r="R41" s="11"/>
      <c r="S41" s="11"/>
      <c r="T41" s="11"/>
      <c r="U41" s="11"/>
      <c r="V41" s="11"/>
      <c r="W41" s="11"/>
      <c r="X41" s="11"/>
      <c r="Y41" s="11"/>
      <c r="Z41" s="11"/>
      <c r="AA41" s="11"/>
      <c r="AB41" s="11"/>
      <c r="AC41" s="11"/>
      <c r="AD41" s="11"/>
    </row>
    <row r="42" spans="1:30" ht="15.75" customHeight="1">
      <c r="A42" s="225" t="s">
        <v>863</v>
      </c>
      <c r="B42" s="225">
        <f t="shared" si="0"/>
        <v>5</v>
      </c>
      <c r="C42" s="9" t="s">
        <v>872</v>
      </c>
      <c r="D42" s="247" t="s">
        <v>873</v>
      </c>
      <c r="E42" s="225"/>
      <c r="F42" s="225"/>
      <c r="G42" s="11"/>
      <c r="H42" s="11"/>
      <c r="I42" s="11"/>
      <c r="J42" s="11"/>
      <c r="K42" s="11"/>
      <c r="L42" s="11"/>
      <c r="M42" s="11"/>
      <c r="N42" s="11"/>
      <c r="O42" s="11"/>
      <c r="P42" s="11"/>
      <c r="Q42" s="11"/>
      <c r="R42" s="11"/>
      <c r="S42" s="11"/>
      <c r="T42" s="11"/>
      <c r="U42" s="11"/>
      <c r="V42" s="11"/>
      <c r="W42" s="11"/>
      <c r="X42" s="11"/>
      <c r="Y42" s="11"/>
      <c r="Z42" s="11"/>
      <c r="AA42" s="11"/>
      <c r="AB42" s="11"/>
      <c r="AC42" s="11"/>
      <c r="AD42" s="11"/>
    </row>
    <row r="43" spans="1:30" ht="15.75" customHeight="1">
      <c r="A43" s="225" t="s">
        <v>863</v>
      </c>
      <c r="B43" s="225">
        <f t="shared" si="0"/>
        <v>6</v>
      </c>
      <c r="C43" s="9" t="s">
        <v>874</v>
      </c>
      <c r="D43" s="245" t="s">
        <v>875</v>
      </c>
      <c r="E43" s="225"/>
      <c r="F43" s="225"/>
      <c r="G43" s="11"/>
      <c r="H43" s="11"/>
      <c r="I43" s="11"/>
      <c r="J43" s="11"/>
      <c r="K43" s="11"/>
      <c r="L43" s="11"/>
      <c r="M43" s="11"/>
      <c r="N43" s="11"/>
      <c r="O43" s="11"/>
      <c r="P43" s="11"/>
      <c r="Q43" s="11"/>
      <c r="R43" s="11"/>
      <c r="S43" s="11"/>
      <c r="T43" s="11"/>
      <c r="U43" s="11"/>
      <c r="V43" s="11"/>
      <c r="W43" s="11"/>
      <c r="X43" s="11"/>
      <c r="Y43" s="11"/>
      <c r="Z43" s="11"/>
      <c r="AA43" s="11"/>
      <c r="AB43" s="11"/>
      <c r="AC43" s="11"/>
      <c r="AD43" s="11"/>
    </row>
    <row r="44" spans="1:30" ht="15.75" customHeight="1">
      <c r="A44" s="225" t="s">
        <v>863</v>
      </c>
      <c r="B44" s="225">
        <f t="shared" si="0"/>
        <v>7</v>
      </c>
      <c r="C44" s="9" t="s">
        <v>876</v>
      </c>
      <c r="D44" s="246" t="s">
        <v>877</v>
      </c>
      <c r="E44" s="225"/>
      <c r="F44" s="225"/>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spans="1:30" ht="15.75" customHeight="1">
      <c r="A45" s="225" t="s">
        <v>863</v>
      </c>
      <c r="B45" s="225">
        <f t="shared" si="0"/>
        <v>8</v>
      </c>
      <c r="C45" s="9" t="s">
        <v>878</v>
      </c>
      <c r="D45" s="246" t="s">
        <v>879</v>
      </c>
      <c r="E45" s="225"/>
      <c r="F45" s="225"/>
      <c r="G45" s="11"/>
      <c r="H45" s="11"/>
      <c r="I45" s="11"/>
      <c r="J45" s="11"/>
      <c r="K45" s="11"/>
      <c r="L45" s="11"/>
      <c r="M45" s="11"/>
      <c r="N45" s="11"/>
      <c r="O45" s="11"/>
      <c r="P45" s="11"/>
      <c r="Q45" s="11"/>
      <c r="R45" s="11"/>
      <c r="S45" s="11"/>
      <c r="T45" s="11"/>
      <c r="U45" s="11"/>
      <c r="V45" s="11"/>
      <c r="W45" s="11"/>
      <c r="X45" s="11"/>
      <c r="Y45" s="11"/>
      <c r="Z45" s="11"/>
      <c r="AA45" s="11"/>
      <c r="AB45" s="11"/>
      <c r="AC45" s="11"/>
      <c r="AD45" s="11"/>
    </row>
    <row r="46" spans="1:30" ht="15.75" customHeight="1">
      <c r="A46" s="225" t="s">
        <v>863</v>
      </c>
      <c r="B46" s="225">
        <f t="shared" si="0"/>
        <v>9</v>
      </c>
      <c r="C46" s="9" t="s">
        <v>880</v>
      </c>
      <c r="D46" s="246" t="s">
        <v>881</v>
      </c>
      <c r="E46" s="225"/>
      <c r="F46" s="225"/>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spans="1:30" ht="15.75" customHeight="1">
      <c r="A47" s="225" t="s">
        <v>863</v>
      </c>
      <c r="B47" s="225">
        <f t="shared" si="0"/>
        <v>10</v>
      </c>
      <c r="C47" s="9" t="s">
        <v>882</v>
      </c>
      <c r="D47" s="246" t="s">
        <v>883</v>
      </c>
      <c r="E47" s="225"/>
      <c r="F47" s="225"/>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spans="1:30" ht="15.75" customHeight="1">
      <c r="A48" s="225" t="s">
        <v>863</v>
      </c>
      <c r="B48" s="225">
        <f t="shared" si="0"/>
        <v>11</v>
      </c>
      <c r="C48" s="9" t="s">
        <v>858</v>
      </c>
      <c r="D48" s="246" t="s">
        <v>859</v>
      </c>
      <c r="E48" s="225"/>
      <c r="F48" s="225"/>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spans="1:30" ht="15.75" customHeight="1">
      <c r="A49" s="225" t="s">
        <v>863</v>
      </c>
      <c r="B49" s="225">
        <f t="shared" si="0"/>
        <v>12</v>
      </c>
      <c r="C49" s="9" t="s">
        <v>884</v>
      </c>
      <c r="D49" s="246" t="s">
        <v>885</v>
      </c>
      <c r="E49" s="225"/>
      <c r="F49" s="225"/>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spans="1:30" ht="15.75" customHeight="1">
      <c r="A50" s="225" t="s">
        <v>863</v>
      </c>
      <c r="B50" s="225">
        <f t="shared" si="0"/>
        <v>13</v>
      </c>
      <c r="C50" s="248" t="s">
        <v>886</v>
      </c>
      <c r="D50" s="246" t="s">
        <v>887</v>
      </c>
      <c r="E50" s="225"/>
      <c r="F50" s="225"/>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spans="1:30" ht="15.75" customHeight="1">
      <c r="A51" s="225" t="s">
        <v>863</v>
      </c>
      <c r="B51" s="225">
        <f t="shared" si="0"/>
        <v>14</v>
      </c>
      <c r="C51" s="249" t="s">
        <v>888</v>
      </c>
      <c r="D51" s="246" t="s">
        <v>889</v>
      </c>
      <c r="E51" s="225"/>
      <c r="F51" s="225"/>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spans="1:30" ht="15.75" customHeight="1">
      <c r="A52" s="225" t="s">
        <v>863</v>
      </c>
      <c r="B52" s="225">
        <f t="shared" si="0"/>
        <v>15</v>
      </c>
      <c r="C52" s="249" t="s">
        <v>890</v>
      </c>
      <c r="D52" s="246" t="s">
        <v>891</v>
      </c>
      <c r="E52" s="225"/>
      <c r="F52" s="225"/>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spans="1:30" ht="15.75" customHeight="1">
      <c r="A53" s="225" t="s">
        <v>863</v>
      </c>
      <c r="B53" s="225">
        <f t="shared" si="0"/>
        <v>16</v>
      </c>
      <c r="C53" s="249" t="s">
        <v>892</v>
      </c>
      <c r="D53" s="246" t="s">
        <v>893</v>
      </c>
      <c r="E53" s="225"/>
      <c r="F53" s="225"/>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spans="1:30" ht="15.75" customHeight="1">
      <c r="A54" s="225" t="s">
        <v>863</v>
      </c>
      <c r="B54" s="225">
        <f t="shared" si="0"/>
        <v>17</v>
      </c>
      <c r="C54" s="249" t="s">
        <v>894</v>
      </c>
      <c r="D54" s="246" t="s">
        <v>895</v>
      </c>
      <c r="E54" s="225"/>
      <c r="F54" s="225"/>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spans="1:30" ht="15.75" customHeight="1">
      <c r="A55" s="225" t="s">
        <v>863</v>
      </c>
      <c r="B55" s="225">
        <f t="shared" si="0"/>
        <v>18</v>
      </c>
      <c r="C55" s="249" t="s">
        <v>896</v>
      </c>
      <c r="D55" s="246" t="s">
        <v>897</v>
      </c>
      <c r="E55" s="225"/>
      <c r="F55" s="225"/>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spans="1:30" ht="15.75" customHeight="1">
      <c r="A56" s="225" t="s">
        <v>863</v>
      </c>
      <c r="B56" s="225">
        <f t="shared" si="0"/>
        <v>19</v>
      </c>
      <c r="C56" s="249" t="s">
        <v>898</v>
      </c>
      <c r="D56" s="246" t="s">
        <v>899</v>
      </c>
      <c r="E56" s="225"/>
      <c r="F56" s="225"/>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spans="1:30" ht="15.75" customHeight="1">
      <c r="A57" s="225" t="s">
        <v>863</v>
      </c>
      <c r="B57" s="225">
        <f t="shared" si="0"/>
        <v>20</v>
      </c>
      <c r="C57" s="249" t="s">
        <v>900</v>
      </c>
      <c r="D57" s="246" t="s">
        <v>901</v>
      </c>
      <c r="E57" s="225"/>
      <c r="F57" s="225"/>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spans="1:30" ht="15.75" customHeight="1">
      <c r="A58" s="225" t="s">
        <v>863</v>
      </c>
      <c r="B58" s="225">
        <f t="shared" si="0"/>
        <v>21</v>
      </c>
      <c r="C58" s="249" t="s">
        <v>902</v>
      </c>
      <c r="D58" s="250" t="s">
        <v>903</v>
      </c>
      <c r="E58" s="225"/>
      <c r="F58" s="225"/>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spans="1:30" ht="15.75" customHeight="1">
      <c r="A59" s="225" t="s">
        <v>863</v>
      </c>
      <c r="B59" s="225">
        <f t="shared" si="0"/>
        <v>22</v>
      </c>
      <c r="C59" s="251" t="s">
        <v>904</v>
      </c>
      <c r="D59" s="252" t="s">
        <v>905</v>
      </c>
      <c r="E59" s="225"/>
      <c r="F59" s="225"/>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spans="1:30" ht="15.75" customHeight="1">
      <c r="A60" s="225" t="s">
        <v>863</v>
      </c>
      <c r="B60" s="225">
        <f t="shared" si="0"/>
        <v>23</v>
      </c>
      <c r="C60" s="182" t="s">
        <v>906</v>
      </c>
      <c r="D60" s="252" t="s">
        <v>907</v>
      </c>
      <c r="E60" s="225"/>
      <c r="F60" s="225"/>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spans="1:30" ht="15.75" customHeight="1">
      <c r="A61" s="225"/>
      <c r="B61" s="225"/>
      <c r="C61" s="182"/>
      <c r="D61" s="138"/>
      <c r="E61" s="225"/>
      <c r="F61" s="225"/>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spans="1:30" ht="15.75" customHeight="1">
      <c r="A62" s="225" t="s">
        <v>908</v>
      </c>
      <c r="B62" s="225">
        <v>1</v>
      </c>
      <c r="C62" s="182" t="s">
        <v>909</v>
      </c>
      <c r="D62" s="138" t="s">
        <v>910</v>
      </c>
      <c r="E62" s="225"/>
      <c r="F62" s="225"/>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spans="1:30" ht="15.75" customHeight="1">
      <c r="A63" s="225" t="s">
        <v>908</v>
      </c>
      <c r="B63" s="225">
        <f t="shared" ref="B63:B64" si="1">1+B62</f>
        <v>2</v>
      </c>
      <c r="C63" s="182" t="s">
        <v>911</v>
      </c>
      <c r="D63" s="138" t="s">
        <v>912</v>
      </c>
      <c r="E63" s="225"/>
      <c r="F63" s="225"/>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spans="1:30" ht="15.75" customHeight="1">
      <c r="A64" s="225" t="s">
        <v>908</v>
      </c>
      <c r="B64" s="225">
        <f t="shared" si="1"/>
        <v>3</v>
      </c>
      <c r="C64" s="182" t="s">
        <v>913</v>
      </c>
      <c r="D64" s="138" t="s">
        <v>914</v>
      </c>
      <c r="E64" s="225"/>
      <c r="F64" s="225"/>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spans="1:30" ht="15.75" customHeight="1">
      <c r="A65" s="225"/>
      <c r="B65" s="225"/>
      <c r="C65" s="251"/>
      <c r="D65" s="225"/>
      <c r="E65" s="225"/>
      <c r="F65" s="225"/>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spans="1:30" ht="15.75" customHeight="1">
      <c r="A66" s="225" t="s">
        <v>915</v>
      </c>
      <c r="B66" s="225">
        <v>1</v>
      </c>
      <c r="C66" s="182" t="s">
        <v>916</v>
      </c>
      <c r="D66" s="138" t="s">
        <v>917</v>
      </c>
      <c r="E66" s="225"/>
      <c r="F66" s="225"/>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spans="1:30" ht="15.75" customHeight="1">
      <c r="A67" s="225" t="s">
        <v>915</v>
      </c>
      <c r="B67" s="225">
        <f>1+B66</f>
        <v>2</v>
      </c>
      <c r="C67" s="182" t="s">
        <v>918</v>
      </c>
      <c r="D67" s="138" t="s">
        <v>919</v>
      </c>
      <c r="E67" s="225"/>
      <c r="F67" s="225"/>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spans="1:30" ht="15.75" customHeight="1">
      <c r="A68" s="225"/>
      <c r="B68" s="225"/>
      <c r="C68" s="225"/>
      <c r="D68" s="225"/>
      <c r="E68" s="225"/>
      <c r="F68" s="225"/>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spans="1:30" ht="15.75" customHeight="1">
      <c r="A69" s="225" t="s">
        <v>920</v>
      </c>
      <c r="B69" s="225">
        <v>1</v>
      </c>
      <c r="C69" s="182" t="s">
        <v>921</v>
      </c>
      <c r="D69" s="225" t="s">
        <v>922</v>
      </c>
      <c r="E69" s="225"/>
      <c r="F69" s="225"/>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spans="1:30" ht="15.75" customHeight="1">
      <c r="A70" s="225" t="s">
        <v>920</v>
      </c>
      <c r="B70" s="225">
        <f t="shared" ref="B70:B73" si="2">1+B69</f>
        <v>2</v>
      </c>
      <c r="C70" s="182" t="s">
        <v>923</v>
      </c>
      <c r="D70" s="225" t="s">
        <v>924</v>
      </c>
      <c r="E70" s="225"/>
      <c r="F70" s="225"/>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spans="1:30" ht="15.75" customHeight="1">
      <c r="A71" s="225" t="s">
        <v>920</v>
      </c>
      <c r="B71" s="225">
        <f t="shared" si="2"/>
        <v>3</v>
      </c>
      <c r="C71" s="182" t="s">
        <v>925</v>
      </c>
      <c r="D71" s="225" t="s">
        <v>926</v>
      </c>
      <c r="E71" s="225"/>
      <c r="F71" s="225"/>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spans="1:30" ht="15.75" customHeight="1">
      <c r="A72" s="225" t="s">
        <v>920</v>
      </c>
      <c r="B72" s="225">
        <f t="shared" si="2"/>
        <v>4</v>
      </c>
      <c r="C72" s="182" t="s">
        <v>927</v>
      </c>
      <c r="D72" s="225" t="s">
        <v>928</v>
      </c>
      <c r="E72" s="225"/>
      <c r="F72" s="225"/>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spans="1:30" ht="15.75" customHeight="1">
      <c r="A73" s="225" t="s">
        <v>920</v>
      </c>
      <c r="B73" s="225">
        <f t="shared" si="2"/>
        <v>5</v>
      </c>
      <c r="C73" s="182" t="s">
        <v>929</v>
      </c>
      <c r="D73" s="225" t="s">
        <v>930</v>
      </c>
      <c r="E73" s="225"/>
      <c r="F73" s="225"/>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spans="1:30" ht="15.75" customHeight="1">
      <c r="A74" s="225"/>
      <c r="B74" s="225"/>
      <c r="C74" s="251"/>
      <c r="D74" s="226"/>
      <c r="E74" s="225"/>
      <c r="F74" s="225"/>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spans="1:30" ht="15.75" customHeight="1">
      <c r="A75" s="225" t="s">
        <v>931</v>
      </c>
      <c r="B75" s="225">
        <v>1</v>
      </c>
      <c r="C75" s="225" t="s">
        <v>932</v>
      </c>
      <c r="D75" s="138" t="s">
        <v>933</v>
      </c>
      <c r="E75" s="225"/>
      <c r="F75" s="225"/>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spans="1:30" ht="15.75" customHeight="1">
      <c r="A76" s="225" t="s">
        <v>931</v>
      </c>
      <c r="B76" s="225">
        <f>1+B75</f>
        <v>2</v>
      </c>
      <c r="C76" s="225" t="s">
        <v>934</v>
      </c>
      <c r="D76" s="225" t="s">
        <v>935</v>
      </c>
      <c r="E76" s="225"/>
      <c r="F76" s="225"/>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spans="1:30" ht="15.75" customHeight="1">
      <c r="A77" s="225" t="s">
        <v>931</v>
      </c>
      <c r="B77" s="225">
        <v>3</v>
      </c>
      <c r="C77" s="225" t="s">
        <v>936</v>
      </c>
      <c r="D77" s="225" t="s">
        <v>937</v>
      </c>
      <c r="E77" s="225"/>
      <c r="F77" s="225"/>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spans="1:30" ht="15.75" customHeight="1">
      <c r="A78" s="225"/>
      <c r="B78" s="225"/>
      <c r="C78" s="225"/>
      <c r="D78" s="225"/>
      <c r="E78" s="225"/>
      <c r="F78" s="225"/>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spans="1:30" ht="15.75" customHeight="1">
      <c r="A79" s="225" t="s">
        <v>938</v>
      </c>
      <c r="B79" s="225">
        <v>1</v>
      </c>
      <c r="C79" s="182" t="s">
        <v>939</v>
      </c>
      <c r="D79" s="138" t="s">
        <v>940</v>
      </c>
      <c r="E79" s="225"/>
      <c r="F79" s="225"/>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spans="1:30" ht="15.75" customHeight="1">
      <c r="A80" s="225" t="s">
        <v>938</v>
      </c>
      <c r="B80" s="225">
        <f t="shared" ref="B80:B84" si="3">1+B79</f>
        <v>2</v>
      </c>
      <c r="C80" s="182" t="s">
        <v>941</v>
      </c>
      <c r="D80" s="225" t="s">
        <v>942</v>
      </c>
      <c r="E80" s="225"/>
      <c r="F80" s="225"/>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spans="1:30" ht="15.75" customHeight="1">
      <c r="A81" s="225" t="s">
        <v>938</v>
      </c>
      <c r="B81" s="225">
        <f t="shared" si="3"/>
        <v>3</v>
      </c>
      <c r="C81" s="182" t="s">
        <v>943</v>
      </c>
      <c r="D81" s="225" t="s">
        <v>944</v>
      </c>
      <c r="E81" s="225"/>
      <c r="F81" s="225"/>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spans="1:30" ht="15.75" customHeight="1">
      <c r="A82" s="225" t="s">
        <v>938</v>
      </c>
      <c r="B82" s="225">
        <f t="shared" si="3"/>
        <v>4</v>
      </c>
      <c r="C82" s="182" t="s">
        <v>945</v>
      </c>
      <c r="D82" s="225" t="s">
        <v>946</v>
      </c>
      <c r="E82" s="225"/>
      <c r="F82" s="225"/>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spans="1:30" ht="15.75" customHeight="1">
      <c r="A83" s="225" t="s">
        <v>938</v>
      </c>
      <c r="B83" s="225">
        <f t="shared" si="3"/>
        <v>5</v>
      </c>
      <c r="C83" s="182" t="s">
        <v>947</v>
      </c>
      <c r="D83" s="225" t="s">
        <v>948</v>
      </c>
      <c r="E83" s="225"/>
      <c r="F83" s="225"/>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spans="1:30" ht="15.75" customHeight="1">
      <c r="A84" s="225" t="s">
        <v>938</v>
      </c>
      <c r="B84" s="225">
        <f t="shared" si="3"/>
        <v>6</v>
      </c>
      <c r="C84" s="182" t="s">
        <v>949</v>
      </c>
      <c r="D84" s="138" t="s">
        <v>950</v>
      </c>
      <c r="E84" s="225"/>
      <c r="F84" s="225"/>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spans="1:30" ht="15.75" customHeight="1">
      <c r="A85" s="225" t="s">
        <v>938</v>
      </c>
      <c r="B85" s="225">
        <v>-96</v>
      </c>
      <c r="C85" s="182" t="s">
        <v>951</v>
      </c>
      <c r="D85" s="95" t="s">
        <v>168</v>
      </c>
      <c r="E85" s="225"/>
      <c r="F85" s="225"/>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spans="1:30" ht="15.75" customHeight="1">
      <c r="A86" s="225"/>
      <c r="B86" s="225"/>
      <c r="C86" s="225"/>
      <c r="D86" s="225"/>
      <c r="E86" s="225"/>
      <c r="F86" s="225"/>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spans="1:30" ht="15.75" customHeight="1">
      <c r="A87" s="225" t="s">
        <v>952</v>
      </c>
      <c r="B87" s="225">
        <v>1</v>
      </c>
      <c r="C87" s="182" t="s">
        <v>953</v>
      </c>
      <c r="D87" s="138" t="s">
        <v>954</v>
      </c>
      <c r="E87" s="225"/>
      <c r="F87" s="225"/>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spans="1:30" ht="15.75" customHeight="1">
      <c r="A88" s="225" t="s">
        <v>952</v>
      </c>
      <c r="B88" s="225">
        <f t="shared" ref="B88:B90" si="4">1+B87</f>
        <v>2</v>
      </c>
      <c r="C88" s="182" t="s">
        <v>955</v>
      </c>
      <c r="D88" s="225" t="s">
        <v>956</v>
      </c>
      <c r="E88" s="225"/>
      <c r="F88" s="225"/>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spans="1:30" ht="15.75" customHeight="1">
      <c r="A89" s="225" t="s">
        <v>952</v>
      </c>
      <c r="B89" s="225">
        <f t="shared" si="4"/>
        <v>3</v>
      </c>
      <c r="C89" s="182" t="s">
        <v>957</v>
      </c>
      <c r="D89" s="225" t="s">
        <v>958</v>
      </c>
      <c r="E89" s="225"/>
      <c r="F89" s="225"/>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spans="1:30" ht="15.75" customHeight="1">
      <c r="A90" s="225" t="s">
        <v>952</v>
      </c>
      <c r="B90" s="225">
        <f t="shared" si="4"/>
        <v>4</v>
      </c>
      <c r="C90" s="182" t="s">
        <v>959</v>
      </c>
      <c r="D90" s="138" t="s">
        <v>960</v>
      </c>
      <c r="E90" s="225"/>
      <c r="F90" s="225"/>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spans="1:30" ht="15.75" customHeight="1">
      <c r="A91" s="225" t="s">
        <v>952</v>
      </c>
      <c r="B91" s="225">
        <v>-96</v>
      </c>
      <c r="C91" s="182" t="s">
        <v>951</v>
      </c>
      <c r="D91" s="95" t="s">
        <v>168</v>
      </c>
      <c r="E91" s="225"/>
      <c r="F91" s="225"/>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spans="1:30" ht="15.75" customHeight="1">
      <c r="A92" s="225"/>
      <c r="B92" s="225"/>
      <c r="C92" s="225"/>
      <c r="D92" s="225"/>
      <c r="E92" s="225"/>
      <c r="F92" s="225"/>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spans="1:30" ht="15.75" customHeight="1">
      <c r="A93" s="225" t="s">
        <v>961</v>
      </c>
      <c r="B93" s="225">
        <v>1</v>
      </c>
      <c r="C93" s="182" t="s">
        <v>962</v>
      </c>
      <c r="D93" s="138" t="s">
        <v>963</v>
      </c>
      <c r="E93" s="225"/>
      <c r="F93" s="225"/>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spans="1:30" ht="15.75" customHeight="1">
      <c r="A94" s="225" t="s">
        <v>961</v>
      </c>
      <c r="B94" s="225">
        <f t="shared" ref="B94:B97" si="5">1+B93</f>
        <v>2</v>
      </c>
      <c r="C94" s="182" t="s">
        <v>964</v>
      </c>
      <c r="D94" s="225" t="s">
        <v>965</v>
      </c>
      <c r="E94" s="225"/>
      <c r="F94" s="225"/>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spans="1:30" ht="15.75" customHeight="1">
      <c r="A95" s="225" t="s">
        <v>961</v>
      </c>
      <c r="B95" s="225">
        <f t="shared" si="5"/>
        <v>3</v>
      </c>
      <c r="C95" s="182" t="s">
        <v>966</v>
      </c>
      <c r="D95" s="226" t="s">
        <v>967</v>
      </c>
      <c r="E95" s="225"/>
      <c r="F95" s="225"/>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spans="1:30" ht="15.75" customHeight="1">
      <c r="A96" s="225" t="s">
        <v>961</v>
      </c>
      <c r="B96" s="225">
        <f t="shared" si="5"/>
        <v>4</v>
      </c>
      <c r="C96" s="182" t="s">
        <v>968</v>
      </c>
      <c r="D96" s="182" t="s">
        <v>968</v>
      </c>
      <c r="E96" s="225"/>
      <c r="F96" s="225"/>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spans="1:30" ht="15.75" customHeight="1">
      <c r="A97" s="225" t="s">
        <v>961</v>
      </c>
      <c r="B97" s="225">
        <f t="shared" si="5"/>
        <v>5</v>
      </c>
      <c r="C97" s="182" t="s">
        <v>969</v>
      </c>
      <c r="D97" s="225" t="s">
        <v>970</v>
      </c>
      <c r="E97" s="225"/>
      <c r="F97" s="225"/>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spans="1:30" ht="15.75" customHeight="1">
      <c r="A98" s="225" t="s">
        <v>961</v>
      </c>
      <c r="B98" s="225">
        <v>-96</v>
      </c>
      <c r="C98" s="182" t="s">
        <v>951</v>
      </c>
      <c r="D98" s="95" t="s">
        <v>168</v>
      </c>
      <c r="E98" s="225"/>
      <c r="F98" s="225"/>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spans="1:30" ht="15.75" customHeight="1">
      <c r="A99" s="225"/>
      <c r="B99" s="225"/>
      <c r="C99" s="251"/>
      <c r="D99" s="225"/>
      <c r="E99" s="225"/>
      <c r="F99" s="225"/>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spans="1:30" ht="15.75" customHeight="1">
      <c r="A100" s="225" t="s">
        <v>971</v>
      </c>
      <c r="B100" s="225">
        <v>1</v>
      </c>
      <c r="C100" s="182" t="s">
        <v>972</v>
      </c>
      <c r="D100" s="182" t="s">
        <v>972</v>
      </c>
      <c r="E100" s="225"/>
      <c r="F100" s="225"/>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spans="1:30" ht="15.75" customHeight="1">
      <c r="A101" s="225" t="s">
        <v>971</v>
      </c>
      <c r="B101" s="225">
        <f t="shared" ref="B101:B105" si="6">1+B100</f>
        <v>2</v>
      </c>
      <c r="C101" s="182" t="s">
        <v>968</v>
      </c>
      <c r="D101" s="182" t="s">
        <v>968</v>
      </c>
      <c r="E101" s="225"/>
      <c r="F101" s="225"/>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spans="1:30" ht="15.75" customHeight="1">
      <c r="A102" s="225" t="s">
        <v>971</v>
      </c>
      <c r="B102" s="225">
        <f t="shared" si="6"/>
        <v>3</v>
      </c>
      <c r="C102" s="225" t="s">
        <v>973</v>
      </c>
      <c r="D102" s="225" t="s">
        <v>973</v>
      </c>
      <c r="E102" s="225"/>
      <c r="F102" s="225"/>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spans="1:30" ht="15.75" customHeight="1">
      <c r="A103" s="225" t="s">
        <v>971</v>
      </c>
      <c r="B103" s="225">
        <f t="shared" si="6"/>
        <v>4</v>
      </c>
      <c r="C103" s="182" t="s">
        <v>974</v>
      </c>
      <c r="D103" s="182" t="s">
        <v>974</v>
      </c>
      <c r="E103" s="225"/>
      <c r="F103" s="225"/>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spans="1:30" ht="15.75" customHeight="1">
      <c r="A104" s="225" t="s">
        <v>971</v>
      </c>
      <c r="B104" s="225">
        <f t="shared" si="6"/>
        <v>5</v>
      </c>
      <c r="C104" s="182" t="s">
        <v>975</v>
      </c>
      <c r="D104" s="182" t="s">
        <v>975</v>
      </c>
      <c r="E104" s="225"/>
      <c r="F104" s="225"/>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spans="1:30" ht="15.75" customHeight="1">
      <c r="A105" s="225" t="s">
        <v>971</v>
      </c>
      <c r="B105" s="225">
        <f t="shared" si="6"/>
        <v>6</v>
      </c>
      <c r="C105" s="182" t="s">
        <v>976</v>
      </c>
      <c r="D105" s="182" t="s">
        <v>976</v>
      </c>
      <c r="E105" s="225"/>
      <c r="F105" s="225"/>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spans="1:30" ht="15.75" customHeight="1">
      <c r="A106" s="225" t="s">
        <v>971</v>
      </c>
      <c r="B106" s="225">
        <v>-86</v>
      </c>
      <c r="C106" s="182" t="s">
        <v>540</v>
      </c>
      <c r="D106" s="95" t="s">
        <v>541</v>
      </c>
      <c r="E106" s="225"/>
      <c r="F106" s="225"/>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spans="1:30" ht="15.75" customHeight="1">
      <c r="A107" s="225" t="s">
        <v>971</v>
      </c>
      <c r="B107" s="225">
        <v>-96</v>
      </c>
      <c r="C107" s="182" t="s">
        <v>951</v>
      </c>
      <c r="D107" s="95" t="s">
        <v>168</v>
      </c>
      <c r="E107" s="225"/>
      <c r="F107" s="225"/>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spans="1:30" ht="15.75" customHeight="1">
      <c r="A108" s="225"/>
      <c r="B108" s="225"/>
      <c r="C108" s="251"/>
      <c r="D108" s="225"/>
      <c r="E108" s="225"/>
      <c r="F108" s="225"/>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spans="1:30" ht="15.75" customHeight="1">
      <c r="A109" s="225" t="s">
        <v>977</v>
      </c>
      <c r="B109" s="225">
        <v>1</v>
      </c>
      <c r="C109" s="182" t="s">
        <v>978</v>
      </c>
      <c r="D109" s="225" t="s">
        <v>979</v>
      </c>
      <c r="E109" s="225"/>
      <c r="F109" s="225"/>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spans="1:30" ht="15.75" customHeight="1">
      <c r="A110" s="225" t="s">
        <v>977</v>
      </c>
      <c r="B110" s="225">
        <f t="shared" ref="B110:B111" si="7">1+B109</f>
        <v>2</v>
      </c>
      <c r="C110" s="182" t="s">
        <v>980</v>
      </c>
      <c r="D110" s="225" t="s">
        <v>981</v>
      </c>
      <c r="E110" s="225"/>
      <c r="F110" s="225"/>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spans="1:30" ht="15.75" customHeight="1">
      <c r="A111" s="225" t="s">
        <v>977</v>
      </c>
      <c r="B111" s="225">
        <f t="shared" si="7"/>
        <v>3</v>
      </c>
      <c r="C111" s="182" t="s">
        <v>982</v>
      </c>
      <c r="D111" s="138" t="s">
        <v>983</v>
      </c>
      <c r="E111" s="225"/>
      <c r="F111" s="225"/>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spans="1:30" ht="15.75" customHeight="1">
      <c r="A112" s="225" t="s">
        <v>977</v>
      </c>
      <c r="B112" s="225">
        <v>-96</v>
      </c>
      <c r="C112" s="182" t="s">
        <v>951</v>
      </c>
      <c r="D112" s="95" t="s">
        <v>168</v>
      </c>
      <c r="E112" s="225"/>
      <c r="F112" s="225"/>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spans="1:30" ht="15.75" customHeight="1">
      <c r="A113" s="225"/>
      <c r="B113" s="225"/>
      <c r="C113" s="251"/>
      <c r="D113" s="225"/>
      <c r="E113" s="225"/>
      <c r="F113" s="225"/>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spans="1:30" ht="15.75" customHeight="1">
      <c r="A114" s="238" t="s">
        <v>984</v>
      </c>
      <c r="B114" s="228">
        <v>1</v>
      </c>
      <c r="C114" s="22" t="s">
        <v>985</v>
      </c>
      <c r="D114" s="138" t="s">
        <v>986</v>
      </c>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row>
    <row r="115" spans="1:30" ht="15.75" customHeight="1">
      <c r="A115" s="238" t="s">
        <v>984</v>
      </c>
      <c r="B115" s="232">
        <f t="shared" ref="B115:B118" si="8">B114+1</f>
        <v>2</v>
      </c>
      <c r="C115" s="22" t="s">
        <v>987</v>
      </c>
      <c r="D115" s="138" t="s">
        <v>988</v>
      </c>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row>
    <row r="116" spans="1:30" ht="15.75" customHeight="1">
      <c r="A116" s="238" t="s">
        <v>984</v>
      </c>
      <c r="B116" s="232">
        <f t="shared" si="8"/>
        <v>3</v>
      </c>
      <c r="C116" s="22" t="s">
        <v>989</v>
      </c>
      <c r="D116" s="138" t="s">
        <v>990</v>
      </c>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row>
    <row r="117" spans="1:30" ht="15.75" customHeight="1">
      <c r="A117" s="238" t="s">
        <v>984</v>
      </c>
      <c r="B117" s="232">
        <f t="shared" si="8"/>
        <v>4</v>
      </c>
      <c r="C117" s="22" t="s">
        <v>991</v>
      </c>
      <c r="D117" s="138" t="s">
        <v>992</v>
      </c>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row>
    <row r="118" spans="1:30" ht="15.75" customHeight="1">
      <c r="A118" s="22" t="s">
        <v>984</v>
      </c>
      <c r="B118" s="253">
        <f t="shared" si="8"/>
        <v>5</v>
      </c>
      <c r="C118" s="22" t="s">
        <v>993</v>
      </c>
      <c r="D118" s="138" t="s">
        <v>994</v>
      </c>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row>
    <row r="119" spans="1:30" ht="15.75" customHeight="1">
      <c r="A119" s="225"/>
      <c r="B119" s="225"/>
      <c r="C119" s="251"/>
      <c r="D119" s="225"/>
      <c r="E119" s="225"/>
      <c r="F119" s="225"/>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spans="1:30" ht="15.75" customHeight="1">
      <c r="A120" s="225" t="s">
        <v>995</v>
      </c>
      <c r="B120" s="228">
        <v>1</v>
      </c>
      <c r="C120" s="182" t="s">
        <v>996</v>
      </c>
      <c r="D120" s="225" t="s">
        <v>997</v>
      </c>
      <c r="E120" s="225"/>
      <c r="F120" s="225"/>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spans="1:30" ht="15.75" customHeight="1">
      <c r="A121" s="225" t="s">
        <v>995</v>
      </c>
      <c r="B121" s="232">
        <f t="shared" ref="B121:B122" si="9">B120+1</f>
        <v>2</v>
      </c>
      <c r="C121" s="182" t="s">
        <v>998</v>
      </c>
      <c r="D121" s="225" t="s">
        <v>999</v>
      </c>
      <c r="E121" s="225"/>
      <c r="F121" s="225"/>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spans="1:30" ht="15.75" customHeight="1">
      <c r="A122" s="225" t="s">
        <v>995</v>
      </c>
      <c r="B122" s="232">
        <f t="shared" si="9"/>
        <v>3</v>
      </c>
      <c r="C122" s="182" t="s">
        <v>1000</v>
      </c>
      <c r="D122" s="225" t="s">
        <v>1001</v>
      </c>
      <c r="E122" s="225"/>
      <c r="F122" s="225"/>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spans="1:30" ht="15.75" customHeight="1">
      <c r="A123" s="225" t="s">
        <v>995</v>
      </c>
      <c r="B123" s="225">
        <v>-96</v>
      </c>
      <c r="C123" s="182" t="s">
        <v>951</v>
      </c>
      <c r="D123" s="95" t="s">
        <v>168</v>
      </c>
      <c r="E123" s="225"/>
      <c r="F123" s="225"/>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spans="1:30" ht="15.75" customHeight="1">
      <c r="A124" s="225"/>
      <c r="B124" s="225"/>
      <c r="C124" s="251"/>
      <c r="D124" s="225"/>
      <c r="E124" s="225"/>
      <c r="F124" s="225"/>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spans="1:30" ht="15.75" customHeight="1">
      <c r="A125" s="225" t="s">
        <v>1002</v>
      </c>
      <c r="B125" s="254">
        <v>1</v>
      </c>
      <c r="C125" s="182" t="s">
        <v>1003</v>
      </c>
      <c r="D125" s="138" t="s">
        <v>1004</v>
      </c>
      <c r="E125" s="225"/>
      <c r="F125" s="225"/>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spans="1:30" ht="15.75" customHeight="1">
      <c r="A126" s="225" t="s">
        <v>1002</v>
      </c>
      <c r="B126" s="254">
        <v>2</v>
      </c>
      <c r="C126" s="182" t="s">
        <v>1005</v>
      </c>
      <c r="D126" s="138" t="s">
        <v>1006</v>
      </c>
      <c r="E126" s="225"/>
      <c r="F126" s="225"/>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spans="1:30" ht="15.75" customHeight="1">
      <c r="A127" s="225" t="s">
        <v>1002</v>
      </c>
      <c r="B127" s="254">
        <v>3</v>
      </c>
      <c r="C127" s="182" t="s">
        <v>1007</v>
      </c>
      <c r="D127" s="138" t="s">
        <v>1008</v>
      </c>
      <c r="E127" s="225"/>
      <c r="F127" s="225"/>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spans="1:30" ht="15.75" customHeight="1">
      <c r="A128" s="225" t="s">
        <v>1002</v>
      </c>
      <c r="B128" s="225">
        <v>-96</v>
      </c>
      <c r="C128" s="182" t="s">
        <v>951</v>
      </c>
      <c r="D128" s="95" t="s">
        <v>168</v>
      </c>
      <c r="E128" s="225"/>
      <c r="F128" s="225"/>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spans="1:30" ht="15.75" customHeight="1">
      <c r="A129" s="225"/>
      <c r="B129" s="254"/>
      <c r="C129" s="255"/>
      <c r="D129" s="255"/>
      <c r="E129" s="225"/>
      <c r="F129" s="225"/>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spans="1:30" ht="15.75" customHeight="1">
      <c r="A130" s="225" t="s">
        <v>1009</v>
      </c>
      <c r="B130" s="254">
        <v>1</v>
      </c>
      <c r="C130" s="255" t="s">
        <v>1010</v>
      </c>
      <c r="D130" s="255" t="s">
        <v>1011</v>
      </c>
      <c r="E130" s="225"/>
      <c r="F130" s="225"/>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spans="1:30" ht="15.75" customHeight="1">
      <c r="A131" s="225" t="s">
        <v>1009</v>
      </c>
      <c r="B131" s="254">
        <v>2</v>
      </c>
      <c r="C131" s="255" t="s">
        <v>1012</v>
      </c>
      <c r="D131" s="255" t="s">
        <v>1013</v>
      </c>
      <c r="E131" s="225"/>
      <c r="F131" s="225"/>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spans="1:30" ht="15.75" customHeight="1">
      <c r="A132" s="225" t="s">
        <v>1009</v>
      </c>
      <c r="B132" s="254">
        <v>3</v>
      </c>
      <c r="C132" s="255" t="s">
        <v>1014</v>
      </c>
      <c r="D132" s="255" t="s">
        <v>1015</v>
      </c>
      <c r="E132" s="225"/>
      <c r="F132" s="225"/>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spans="1:30" ht="15.75" customHeight="1">
      <c r="A133" s="225"/>
      <c r="B133" s="254"/>
      <c r="C133" s="255"/>
      <c r="D133" s="255"/>
      <c r="E133" s="225"/>
      <c r="F133" s="225"/>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spans="1:30" ht="15.75" customHeight="1">
      <c r="A134" s="225"/>
      <c r="B134" s="254"/>
      <c r="C134" s="255"/>
      <c r="D134" s="255"/>
      <c r="E134" s="225"/>
      <c r="F134" s="225"/>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spans="1:30" ht="15.75" customHeight="1">
      <c r="A135" s="225"/>
      <c r="B135" s="254"/>
      <c r="C135" s="255"/>
      <c r="D135" s="255"/>
      <c r="E135" s="225"/>
      <c r="F135" s="225"/>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spans="1:30" ht="15.75" customHeight="1">
      <c r="A136" s="225"/>
      <c r="B136" s="254"/>
      <c r="C136" s="255"/>
      <c r="D136" s="255"/>
      <c r="E136" s="225"/>
      <c r="F136" s="225"/>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spans="1:30" ht="15.75" customHeight="1">
      <c r="A137" s="225"/>
      <c r="B137" s="254"/>
      <c r="C137" s="255"/>
      <c r="D137" s="255"/>
      <c r="E137" s="225"/>
      <c r="F137" s="225"/>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spans="1:30" ht="15.75" customHeight="1">
      <c r="A138" s="225"/>
      <c r="B138" s="254"/>
      <c r="C138" s="255"/>
      <c r="D138" s="255"/>
      <c r="E138" s="225"/>
      <c r="F138" s="225"/>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spans="1:30" ht="15.75" customHeight="1">
      <c r="A139" s="225"/>
      <c r="B139" s="254"/>
      <c r="C139" s="255"/>
      <c r="D139" s="255"/>
      <c r="E139" s="225"/>
      <c r="F139" s="225"/>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spans="1:30" ht="15.75" customHeight="1">
      <c r="A140" s="225"/>
      <c r="B140" s="254"/>
      <c r="C140" s="255"/>
      <c r="D140" s="255"/>
      <c r="E140" s="225"/>
      <c r="F140" s="225"/>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spans="1:30" ht="15.75" customHeight="1">
      <c r="A141" s="225"/>
      <c r="B141" s="254"/>
      <c r="C141" s="255"/>
      <c r="D141" s="255"/>
      <c r="E141" s="225"/>
      <c r="F141" s="225"/>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spans="1:30" ht="15.75" customHeight="1">
      <c r="A142" s="225"/>
      <c r="B142" s="254"/>
      <c r="C142" s="255"/>
      <c r="D142" s="255"/>
      <c r="E142" s="225"/>
      <c r="F142" s="225"/>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spans="1:30" ht="15.75" customHeight="1">
      <c r="A143" s="225"/>
      <c r="B143" s="254"/>
      <c r="C143" s="255"/>
      <c r="D143" s="255"/>
      <c r="E143" s="225"/>
      <c r="F143" s="225"/>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spans="1:30" ht="15.75" customHeight="1">
      <c r="A144" s="225"/>
      <c r="B144" s="254"/>
      <c r="C144" s="255"/>
      <c r="D144" s="255"/>
      <c r="E144" s="225"/>
      <c r="F144" s="225"/>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spans="1:30" ht="15.75" customHeight="1">
      <c r="A145" s="225"/>
      <c r="B145" s="254"/>
      <c r="C145" s="255"/>
      <c r="D145" s="255"/>
      <c r="E145" s="225"/>
      <c r="F145" s="225"/>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spans="1:30" ht="15.75" customHeight="1">
      <c r="A146" s="225"/>
      <c r="B146" s="225"/>
      <c r="C146" s="225"/>
      <c r="D146" s="225"/>
      <c r="E146" s="225"/>
      <c r="F146" s="225"/>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spans="1:30" ht="15.75" customHeight="1">
      <c r="A147" s="225" t="s">
        <v>1016</v>
      </c>
      <c r="B147" s="254">
        <v>1</v>
      </c>
      <c r="C147" s="225" t="s">
        <v>1017</v>
      </c>
      <c r="D147" s="225" t="s">
        <v>1018</v>
      </c>
      <c r="E147" s="225"/>
      <c r="F147" s="225"/>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spans="1:30" ht="15.75" customHeight="1">
      <c r="A148" s="225" t="s">
        <v>1016</v>
      </c>
      <c r="B148" s="254">
        <v>2</v>
      </c>
      <c r="C148" s="225" t="s">
        <v>1019</v>
      </c>
      <c r="D148" s="225" t="s">
        <v>1020</v>
      </c>
      <c r="E148" s="225"/>
      <c r="F148" s="225"/>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spans="1:30" ht="15.75" customHeight="1">
      <c r="A149" s="225" t="s">
        <v>1016</v>
      </c>
      <c r="B149" s="254">
        <v>3</v>
      </c>
      <c r="C149" s="225" t="s">
        <v>1021</v>
      </c>
      <c r="D149" s="225" t="s">
        <v>1022</v>
      </c>
      <c r="E149" s="225"/>
      <c r="F149" s="225"/>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spans="1:30" ht="15.75" customHeight="1">
      <c r="A150" s="225"/>
      <c r="B150" s="225"/>
      <c r="C150" s="225"/>
      <c r="D150" s="225"/>
      <c r="E150" s="225"/>
      <c r="F150" s="225"/>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spans="1:30" ht="15.75" customHeight="1">
      <c r="A151" s="227" t="s">
        <v>1023</v>
      </c>
      <c r="B151" s="256">
        <v>1</v>
      </c>
      <c r="C151" s="257" t="s">
        <v>1024</v>
      </c>
      <c r="D151" s="257" t="s">
        <v>1024</v>
      </c>
      <c r="E151" s="22"/>
      <c r="F151" s="256"/>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row>
    <row r="152" spans="1:30" ht="15.75" customHeight="1">
      <c r="A152" s="231" t="s">
        <v>1023</v>
      </c>
      <c r="B152" s="256">
        <v>2</v>
      </c>
      <c r="C152" s="257" t="s">
        <v>1025</v>
      </c>
      <c r="D152" s="257" t="s">
        <v>1025</v>
      </c>
      <c r="E152" s="22"/>
      <c r="F152" s="256"/>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row>
    <row r="153" spans="1:30" ht="15.75" customHeight="1">
      <c r="A153" s="231" t="s">
        <v>1023</v>
      </c>
      <c r="B153" s="256">
        <v>3</v>
      </c>
      <c r="C153" s="257" t="s">
        <v>1026</v>
      </c>
      <c r="D153" s="257" t="s">
        <v>1026</v>
      </c>
      <c r="E153" s="22"/>
      <c r="F153" s="256"/>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row>
    <row r="154" spans="1:30" ht="15.75" customHeight="1">
      <c r="A154" s="231" t="s">
        <v>1023</v>
      </c>
      <c r="B154" s="256">
        <v>4</v>
      </c>
      <c r="C154" s="257" t="s">
        <v>1027</v>
      </c>
      <c r="D154" s="257" t="s">
        <v>1027</v>
      </c>
      <c r="E154" s="22"/>
      <c r="F154" s="256"/>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row>
    <row r="155" spans="1:30" ht="15.75" customHeight="1">
      <c r="A155" s="231" t="s">
        <v>1023</v>
      </c>
      <c r="B155" s="256">
        <v>5</v>
      </c>
      <c r="C155" s="257" t="s">
        <v>1028</v>
      </c>
      <c r="D155" s="257" t="s">
        <v>1028</v>
      </c>
      <c r="E155" s="22"/>
      <c r="F155" s="256"/>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row>
    <row r="156" spans="1:30" ht="15.75" customHeight="1">
      <c r="A156" s="231" t="s">
        <v>1023</v>
      </c>
      <c r="B156" s="256">
        <v>6</v>
      </c>
      <c r="C156" s="257" t="s">
        <v>1029</v>
      </c>
      <c r="D156" s="257" t="s">
        <v>1029</v>
      </c>
      <c r="E156" s="22"/>
      <c r="F156" s="256"/>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row>
    <row r="157" spans="1:30" ht="15.75" customHeight="1">
      <c r="A157" s="231" t="s">
        <v>1023</v>
      </c>
      <c r="B157" s="256">
        <v>7</v>
      </c>
      <c r="C157" s="257" t="s">
        <v>1030</v>
      </c>
      <c r="D157" s="257" t="s">
        <v>1030</v>
      </c>
      <c r="E157" s="22"/>
      <c r="F157" s="256"/>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row>
    <row r="158" spans="1:30" ht="15.75" customHeight="1">
      <c r="A158" s="231" t="s">
        <v>1023</v>
      </c>
      <c r="B158" s="256">
        <v>8</v>
      </c>
      <c r="C158" s="257" t="s">
        <v>1031</v>
      </c>
      <c r="D158" s="257" t="s">
        <v>1031</v>
      </c>
      <c r="E158" s="22"/>
      <c r="F158" s="256"/>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row>
    <row r="159" spans="1:30" ht="15.75" customHeight="1">
      <c r="A159" s="231" t="s">
        <v>1023</v>
      </c>
      <c r="B159" s="256">
        <v>9</v>
      </c>
      <c r="C159" s="257" t="s">
        <v>1032</v>
      </c>
      <c r="D159" s="257" t="s">
        <v>1032</v>
      </c>
      <c r="E159" s="22"/>
      <c r="F159" s="256"/>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row>
    <row r="160" spans="1:30" ht="15.75" customHeight="1">
      <c r="A160" s="231" t="s">
        <v>1023</v>
      </c>
      <c r="B160" s="256">
        <v>10</v>
      </c>
      <c r="C160" s="257" t="s">
        <v>1033</v>
      </c>
      <c r="D160" s="257" t="s">
        <v>1033</v>
      </c>
      <c r="E160" s="22"/>
      <c r="F160" s="256"/>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row>
    <row r="161" spans="1:30" ht="15.75" customHeight="1">
      <c r="A161" s="231" t="s">
        <v>1023</v>
      </c>
      <c r="B161" s="256">
        <v>11</v>
      </c>
      <c r="C161" s="257" t="s">
        <v>1034</v>
      </c>
      <c r="D161" s="257" t="s">
        <v>1034</v>
      </c>
      <c r="E161" s="22"/>
      <c r="F161" s="256"/>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row>
    <row r="162" spans="1:30" ht="15.75" customHeight="1">
      <c r="A162" s="231" t="s">
        <v>1023</v>
      </c>
      <c r="B162" s="256">
        <v>12</v>
      </c>
      <c r="C162" s="257" t="s">
        <v>1035</v>
      </c>
      <c r="D162" s="257" t="s">
        <v>1035</v>
      </c>
      <c r="E162" s="22"/>
      <c r="F162" s="256"/>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row>
    <row r="163" spans="1:30" ht="15.75" customHeight="1">
      <c r="A163" s="231" t="s">
        <v>1023</v>
      </c>
      <c r="B163" s="256">
        <v>13</v>
      </c>
      <c r="C163" s="257" t="s">
        <v>1036</v>
      </c>
      <c r="D163" s="257" t="s">
        <v>1036</v>
      </c>
      <c r="E163" s="22"/>
      <c r="F163" s="256"/>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row>
    <row r="164" spans="1:30" ht="15.75" customHeight="1">
      <c r="A164" s="231" t="s">
        <v>1023</v>
      </c>
      <c r="B164" s="256">
        <v>14</v>
      </c>
      <c r="C164" s="257" t="s">
        <v>1037</v>
      </c>
      <c r="D164" s="257" t="s">
        <v>1037</v>
      </c>
      <c r="E164" s="22"/>
      <c r="F164" s="256"/>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row>
    <row r="165" spans="1:30" ht="15.75" customHeight="1">
      <c r="A165" s="231" t="s">
        <v>1023</v>
      </c>
      <c r="B165" s="256">
        <v>15</v>
      </c>
      <c r="C165" s="257" t="s">
        <v>1038</v>
      </c>
      <c r="D165" s="257" t="s">
        <v>1038</v>
      </c>
      <c r="E165" s="22"/>
      <c r="F165" s="256"/>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row>
    <row r="166" spans="1:30" ht="15.75" customHeight="1">
      <c r="A166" s="231" t="s">
        <v>1023</v>
      </c>
      <c r="B166" s="256">
        <v>16</v>
      </c>
      <c r="C166" s="257" t="s">
        <v>1039</v>
      </c>
      <c r="D166" s="257" t="s">
        <v>1039</v>
      </c>
      <c r="E166" s="22"/>
      <c r="F166" s="256"/>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row>
    <row r="167" spans="1:30" ht="15.75" customHeight="1">
      <c r="A167" s="231" t="s">
        <v>1023</v>
      </c>
      <c r="B167" s="256">
        <v>17</v>
      </c>
      <c r="C167" s="257" t="s">
        <v>1040</v>
      </c>
      <c r="D167" s="257" t="s">
        <v>1040</v>
      </c>
      <c r="E167" s="22"/>
      <c r="F167" s="256"/>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row>
    <row r="168" spans="1:30" ht="15.75" customHeight="1">
      <c r="A168" s="231" t="s">
        <v>1023</v>
      </c>
      <c r="B168" s="256">
        <v>18</v>
      </c>
      <c r="C168" s="257" t="s">
        <v>1041</v>
      </c>
      <c r="D168" s="257" t="s">
        <v>1041</v>
      </c>
      <c r="E168" s="22"/>
      <c r="F168" s="256"/>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row>
    <row r="169" spans="1:30" ht="15.75" customHeight="1">
      <c r="A169" s="231" t="s">
        <v>1023</v>
      </c>
      <c r="B169" s="256">
        <v>19</v>
      </c>
      <c r="C169" s="257" t="s">
        <v>1042</v>
      </c>
      <c r="D169" s="257" t="s">
        <v>1042</v>
      </c>
      <c r="E169" s="22"/>
      <c r="F169" s="256"/>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row>
    <row r="170" spans="1:30" ht="15.75" customHeight="1">
      <c r="A170" s="231" t="s">
        <v>1023</v>
      </c>
      <c r="B170" s="256">
        <v>20</v>
      </c>
      <c r="C170" s="257" t="s">
        <v>1043</v>
      </c>
      <c r="D170" s="257" t="s">
        <v>1043</v>
      </c>
      <c r="E170" s="22"/>
      <c r="F170" s="256"/>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row>
    <row r="171" spans="1:30" ht="15.75" customHeight="1">
      <c r="A171" s="231" t="s">
        <v>1023</v>
      </c>
      <c r="B171" s="256">
        <v>21</v>
      </c>
      <c r="C171" s="257" t="s">
        <v>1044</v>
      </c>
      <c r="D171" s="257" t="s">
        <v>1044</v>
      </c>
      <c r="E171" s="22"/>
      <c r="F171" s="256"/>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row>
    <row r="172" spans="1:30" ht="15.75" customHeight="1">
      <c r="A172" s="231" t="s">
        <v>1023</v>
      </c>
      <c r="B172" s="256">
        <v>22</v>
      </c>
      <c r="C172" s="257" t="s">
        <v>1045</v>
      </c>
      <c r="D172" s="257" t="s">
        <v>1045</v>
      </c>
      <c r="E172" s="22"/>
      <c r="F172" s="256"/>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row>
    <row r="173" spans="1:30" ht="15.75" customHeight="1">
      <c r="A173" s="231" t="s">
        <v>1023</v>
      </c>
      <c r="B173" s="256">
        <v>23</v>
      </c>
      <c r="C173" s="257" t="s">
        <v>1046</v>
      </c>
      <c r="D173" s="257" t="s">
        <v>1046</v>
      </c>
      <c r="E173" s="22"/>
      <c r="F173" s="256"/>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row>
    <row r="174" spans="1:30" ht="15.75" customHeight="1">
      <c r="A174" s="231" t="s">
        <v>1023</v>
      </c>
      <c r="B174" s="256">
        <v>24</v>
      </c>
      <c r="C174" s="257" t="s">
        <v>1047</v>
      </c>
      <c r="D174" s="257" t="s">
        <v>1047</v>
      </c>
      <c r="E174" s="22"/>
      <c r="F174" s="256"/>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row>
    <row r="175" spans="1:30" ht="15.75" customHeight="1">
      <c r="A175" s="231" t="s">
        <v>1023</v>
      </c>
      <c r="B175" s="256">
        <v>25</v>
      </c>
      <c r="C175" s="257" t="s">
        <v>1048</v>
      </c>
      <c r="D175" s="257" t="s">
        <v>1048</v>
      </c>
      <c r="E175" s="22"/>
      <c r="F175" s="256"/>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row>
    <row r="176" spans="1:30" ht="15.75" customHeight="1">
      <c r="A176" s="231" t="s">
        <v>1023</v>
      </c>
      <c r="B176" s="256">
        <v>26</v>
      </c>
      <c r="C176" s="257" t="s">
        <v>1049</v>
      </c>
      <c r="D176" s="257" t="s">
        <v>1049</v>
      </c>
      <c r="E176" s="22"/>
      <c r="F176" s="256"/>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row>
    <row r="177" spans="1:30" ht="15.75" customHeight="1">
      <c r="A177" s="231" t="s">
        <v>1023</v>
      </c>
      <c r="B177" s="256">
        <v>27</v>
      </c>
      <c r="C177" s="257" t="s">
        <v>1050</v>
      </c>
      <c r="D177" s="257" t="s">
        <v>1050</v>
      </c>
      <c r="E177" s="22"/>
      <c r="F177" s="256"/>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row>
    <row r="178" spans="1:30" ht="15.75" customHeight="1">
      <c r="A178" s="231" t="s">
        <v>1023</v>
      </c>
      <c r="B178" s="256">
        <v>28</v>
      </c>
      <c r="C178" s="257" t="s">
        <v>1051</v>
      </c>
      <c r="D178" s="257" t="s">
        <v>1051</v>
      </c>
      <c r="E178" s="22"/>
      <c r="F178" s="256"/>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row>
    <row r="179" spans="1:30" ht="15.75" customHeight="1">
      <c r="A179" s="231" t="s">
        <v>1023</v>
      </c>
      <c r="B179" s="256">
        <v>29</v>
      </c>
      <c r="C179" s="257" t="s">
        <v>1052</v>
      </c>
      <c r="D179" s="257" t="s">
        <v>1052</v>
      </c>
      <c r="E179" s="22"/>
      <c r="F179" s="256"/>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row>
    <row r="180" spans="1:30" ht="15.75" customHeight="1">
      <c r="A180" s="231" t="s">
        <v>1023</v>
      </c>
      <c r="B180" s="256">
        <v>30</v>
      </c>
      <c r="C180" s="257" t="s">
        <v>1053</v>
      </c>
      <c r="D180" s="257" t="s">
        <v>1053</v>
      </c>
      <c r="E180" s="22"/>
      <c r="F180" s="256"/>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row>
    <row r="181" spans="1:30" ht="15.75" customHeight="1">
      <c r="A181" s="231" t="s">
        <v>1023</v>
      </c>
      <c r="B181" s="256">
        <v>31</v>
      </c>
      <c r="C181" s="257" t="s">
        <v>1054</v>
      </c>
      <c r="D181" s="257" t="s">
        <v>1054</v>
      </c>
      <c r="E181" s="22"/>
      <c r="F181" s="256"/>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row>
    <row r="182" spans="1:30" ht="15.75" customHeight="1">
      <c r="A182" s="231" t="s">
        <v>1023</v>
      </c>
      <c r="B182" s="256">
        <v>32</v>
      </c>
      <c r="C182" s="257" t="s">
        <v>1055</v>
      </c>
      <c r="D182" s="257" t="s">
        <v>1055</v>
      </c>
      <c r="E182" s="22"/>
      <c r="F182" s="256"/>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row>
    <row r="183" spans="1:30" ht="15.75" customHeight="1">
      <c r="A183" s="231" t="s">
        <v>1023</v>
      </c>
      <c r="B183" s="256">
        <v>33</v>
      </c>
      <c r="C183" s="257" t="s">
        <v>1056</v>
      </c>
      <c r="D183" s="257" t="s">
        <v>1056</v>
      </c>
      <c r="E183" s="22"/>
      <c r="F183" s="256"/>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row>
    <row r="184" spans="1:30" ht="15.75" customHeight="1">
      <c r="A184" s="231" t="s">
        <v>1023</v>
      </c>
      <c r="B184" s="256">
        <v>34</v>
      </c>
      <c r="C184" s="257" t="s">
        <v>1057</v>
      </c>
      <c r="D184" s="257" t="s">
        <v>1057</v>
      </c>
      <c r="E184" s="22"/>
      <c r="F184" s="256"/>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row>
    <row r="185" spans="1:30" ht="15.75" customHeight="1">
      <c r="A185" s="231" t="s">
        <v>1023</v>
      </c>
      <c r="B185" s="256">
        <v>35</v>
      </c>
      <c r="C185" s="257" t="s">
        <v>1058</v>
      </c>
      <c r="D185" s="257" t="s">
        <v>1058</v>
      </c>
      <c r="E185" s="22"/>
      <c r="F185" s="256"/>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row>
    <row r="186" spans="1:30" ht="15.75" customHeight="1">
      <c r="A186" s="231" t="s">
        <v>1023</v>
      </c>
      <c r="B186" s="256">
        <v>36</v>
      </c>
      <c r="C186" s="257" t="s">
        <v>1059</v>
      </c>
      <c r="D186" s="257" t="s">
        <v>1059</v>
      </c>
      <c r="E186" s="22"/>
      <c r="F186" s="256"/>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row>
    <row r="187" spans="1:30" ht="15.75" customHeight="1">
      <c r="A187" s="231" t="s">
        <v>1023</v>
      </c>
      <c r="B187" s="256">
        <v>37</v>
      </c>
      <c r="C187" s="257" t="s">
        <v>1060</v>
      </c>
      <c r="D187" s="257" t="s">
        <v>1060</v>
      </c>
      <c r="E187" s="22"/>
      <c r="F187" s="256"/>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row>
    <row r="188" spans="1:30" ht="15.75" customHeight="1">
      <c r="A188" s="231" t="s">
        <v>1023</v>
      </c>
      <c r="B188" s="256">
        <v>38</v>
      </c>
      <c r="C188" s="257" t="s">
        <v>1061</v>
      </c>
      <c r="D188" s="257" t="s">
        <v>1061</v>
      </c>
      <c r="E188" s="22"/>
      <c r="F188" s="256"/>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row>
    <row r="189" spans="1:30" ht="15.75" customHeight="1">
      <c r="A189" s="231" t="s">
        <v>1023</v>
      </c>
      <c r="B189" s="256">
        <v>39</v>
      </c>
      <c r="C189" s="257" t="s">
        <v>1062</v>
      </c>
      <c r="D189" s="257" t="s">
        <v>1062</v>
      </c>
      <c r="E189" s="22"/>
      <c r="F189" s="256"/>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row>
    <row r="190" spans="1:30" ht="15.75" customHeight="1">
      <c r="A190" s="231" t="s">
        <v>1023</v>
      </c>
      <c r="B190" s="256">
        <v>40</v>
      </c>
      <c r="C190" s="257" t="s">
        <v>1063</v>
      </c>
      <c r="D190" s="257" t="s">
        <v>1063</v>
      </c>
      <c r="E190" s="22"/>
      <c r="F190" s="256"/>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row>
    <row r="191" spans="1:30" ht="15.75" customHeight="1">
      <c r="A191" s="231" t="s">
        <v>1023</v>
      </c>
      <c r="B191" s="256">
        <v>41</v>
      </c>
      <c r="C191" s="257" t="s">
        <v>1064</v>
      </c>
      <c r="D191" s="257" t="s">
        <v>1064</v>
      </c>
      <c r="E191" s="22"/>
      <c r="F191" s="256"/>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row>
    <row r="192" spans="1:30" ht="15.75" customHeight="1">
      <c r="A192" s="231" t="s">
        <v>1023</v>
      </c>
      <c r="B192" s="256">
        <v>42</v>
      </c>
      <c r="C192" s="257" t="s">
        <v>1065</v>
      </c>
      <c r="D192" s="257" t="s">
        <v>1065</v>
      </c>
      <c r="E192" s="22"/>
      <c r="F192" s="256"/>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row>
    <row r="193" spans="1:30" ht="15.75" customHeight="1">
      <c r="A193" s="231" t="s">
        <v>1023</v>
      </c>
      <c r="B193" s="256">
        <v>43</v>
      </c>
      <c r="C193" s="257" t="s">
        <v>1066</v>
      </c>
      <c r="D193" s="257" t="s">
        <v>1066</v>
      </c>
      <c r="E193" s="22"/>
      <c r="F193" s="256"/>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row>
    <row r="194" spans="1:30" ht="15.75" customHeight="1">
      <c r="A194" s="231" t="s">
        <v>1023</v>
      </c>
      <c r="B194" s="256">
        <v>44</v>
      </c>
      <c r="C194" s="257" t="s">
        <v>1067</v>
      </c>
      <c r="D194" s="257" t="s">
        <v>1067</v>
      </c>
      <c r="E194" s="22"/>
      <c r="F194" s="256"/>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row>
    <row r="195" spans="1:30" ht="15.75" customHeight="1">
      <c r="A195" s="231" t="s">
        <v>1023</v>
      </c>
      <c r="B195" s="256">
        <v>45</v>
      </c>
      <c r="C195" s="257" t="s">
        <v>1068</v>
      </c>
      <c r="D195" s="257" t="s">
        <v>1068</v>
      </c>
      <c r="E195" s="22"/>
      <c r="F195" s="256"/>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row>
    <row r="196" spans="1:30" ht="15.75" customHeight="1">
      <c r="A196" s="231" t="s">
        <v>1023</v>
      </c>
      <c r="B196" s="256">
        <v>46</v>
      </c>
      <c r="C196" s="257" t="s">
        <v>1069</v>
      </c>
      <c r="D196" s="257" t="s">
        <v>1069</v>
      </c>
      <c r="E196" s="22"/>
      <c r="F196" s="256"/>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row>
    <row r="197" spans="1:30" ht="15.75" customHeight="1">
      <c r="A197" s="231" t="s">
        <v>1023</v>
      </c>
      <c r="B197" s="256">
        <v>47</v>
      </c>
      <c r="C197" s="257" t="s">
        <v>1070</v>
      </c>
      <c r="D197" s="257" t="s">
        <v>1070</v>
      </c>
      <c r="E197" s="22"/>
      <c r="F197" s="256"/>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row>
    <row r="198" spans="1:30" ht="15.75" customHeight="1">
      <c r="A198" s="231" t="s">
        <v>1023</v>
      </c>
      <c r="B198" s="256">
        <v>48</v>
      </c>
      <c r="C198" s="257" t="s">
        <v>1071</v>
      </c>
      <c r="D198" s="257" t="s">
        <v>1071</v>
      </c>
      <c r="E198" s="22"/>
      <c r="F198" s="256"/>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row>
    <row r="199" spans="1:30" ht="15.75" customHeight="1">
      <c r="A199" s="231" t="s">
        <v>1023</v>
      </c>
      <c r="B199" s="256">
        <v>49</v>
      </c>
      <c r="C199" s="257" t="s">
        <v>1072</v>
      </c>
      <c r="D199" s="257" t="s">
        <v>1072</v>
      </c>
      <c r="E199" s="22"/>
      <c r="F199" s="256"/>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row>
    <row r="200" spans="1:30" ht="15.75" customHeight="1">
      <c r="A200" s="231" t="s">
        <v>1023</v>
      </c>
      <c r="B200" s="256">
        <v>50</v>
      </c>
      <c r="C200" s="257" t="s">
        <v>1073</v>
      </c>
      <c r="D200" s="257" t="s">
        <v>1073</v>
      </c>
      <c r="E200" s="22"/>
      <c r="F200" s="256"/>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row>
    <row r="201" spans="1:30" ht="15.75" customHeight="1">
      <c r="A201" s="231" t="s">
        <v>1023</v>
      </c>
      <c r="B201" s="256">
        <v>51</v>
      </c>
      <c r="C201" s="257" t="s">
        <v>1074</v>
      </c>
      <c r="D201" s="257" t="s">
        <v>1074</v>
      </c>
      <c r="E201" s="22"/>
      <c r="F201" s="256"/>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row>
    <row r="202" spans="1:30" ht="15.75" customHeight="1">
      <c r="A202" s="231" t="s">
        <v>1023</v>
      </c>
      <c r="B202" s="256">
        <v>52</v>
      </c>
      <c r="C202" s="257" t="s">
        <v>1075</v>
      </c>
      <c r="D202" s="257" t="s">
        <v>1075</v>
      </c>
      <c r="E202" s="22"/>
      <c r="F202" s="256"/>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row>
    <row r="203" spans="1:30" ht="15.75" customHeight="1">
      <c r="A203" s="231" t="s">
        <v>1023</v>
      </c>
      <c r="B203" s="256">
        <v>53</v>
      </c>
      <c r="C203" s="257" t="s">
        <v>1076</v>
      </c>
      <c r="D203" s="257" t="s">
        <v>1076</v>
      </c>
      <c r="E203" s="22"/>
      <c r="F203" s="256"/>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row>
    <row r="204" spans="1:30" ht="15.75" customHeight="1">
      <c r="A204" s="231" t="s">
        <v>1023</v>
      </c>
      <c r="B204" s="256">
        <v>54</v>
      </c>
      <c r="C204" s="257" t="s">
        <v>1077</v>
      </c>
      <c r="D204" s="257" t="s">
        <v>1077</v>
      </c>
      <c r="E204" s="22"/>
      <c r="F204" s="256"/>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row>
    <row r="205" spans="1:30" ht="15.75" customHeight="1">
      <c r="A205" s="231" t="s">
        <v>1023</v>
      </c>
      <c r="B205" s="256">
        <v>55</v>
      </c>
      <c r="C205" s="257" t="s">
        <v>1078</v>
      </c>
      <c r="D205" s="257" t="s">
        <v>1078</v>
      </c>
      <c r="E205" s="22"/>
      <c r="F205" s="256"/>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row>
    <row r="206" spans="1:30" ht="15.75" customHeight="1">
      <c r="A206" s="231" t="s">
        <v>1023</v>
      </c>
      <c r="B206" s="256">
        <v>56</v>
      </c>
      <c r="C206" s="257" t="s">
        <v>1079</v>
      </c>
      <c r="D206" s="257" t="s">
        <v>1079</v>
      </c>
      <c r="E206" s="22"/>
      <c r="F206" s="256"/>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row>
    <row r="207" spans="1:30" ht="15.75" customHeight="1">
      <c r="A207" s="231" t="s">
        <v>1023</v>
      </c>
      <c r="B207" s="256">
        <v>57</v>
      </c>
      <c r="C207" s="257" t="s">
        <v>1080</v>
      </c>
      <c r="D207" s="257" t="s">
        <v>1080</v>
      </c>
      <c r="E207" s="22"/>
      <c r="F207" s="256"/>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row>
    <row r="208" spans="1:30" ht="15.75" customHeight="1">
      <c r="A208" s="231" t="s">
        <v>1023</v>
      </c>
      <c r="B208" s="256">
        <v>58</v>
      </c>
      <c r="C208" s="257" t="s">
        <v>1081</v>
      </c>
      <c r="D208" s="257" t="s">
        <v>1081</v>
      </c>
      <c r="E208" s="22"/>
      <c r="F208" s="256"/>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row>
    <row r="209" spans="1:30" ht="15.75" customHeight="1">
      <c r="A209" s="231" t="s">
        <v>1023</v>
      </c>
      <c r="B209" s="256">
        <v>59</v>
      </c>
      <c r="C209" s="257" t="s">
        <v>1082</v>
      </c>
      <c r="D209" s="257" t="s">
        <v>1082</v>
      </c>
      <c r="E209" s="22"/>
      <c r="F209" s="256"/>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row>
    <row r="210" spans="1:30" ht="15.75" customHeight="1">
      <c r="A210" s="231" t="s">
        <v>1023</v>
      </c>
      <c r="B210" s="256">
        <v>60</v>
      </c>
      <c r="C210" s="257" t="s">
        <v>1083</v>
      </c>
      <c r="D210" s="257" t="s">
        <v>1083</v>
      </c>
      <c r="E210" s="22"/>
      <c r="F210" s="256"/>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row>
    <row r="211" spans="1:30" ht="15.75" customHeight="1">
      <c r="A211" s="231" t="s">
        <v>1023</v>
      </c>
      <c r="B211" s="256">
        <v>61</v>
      </c>
      <c r="C211" s="257" t="s">
        <v>1084</v>
      </c>
      <c r="D211" s="257" t="s">
        <v>1084</v>
      </c>
      <c r="E211" s="22"/>
      <c r="F211" s="256"/>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row>
    <row r="212" spans="1:30" ht="15.75" customHeight="1">
      <c r="A212" s="231" t="s">
        <v>1023</v>
      </c>
      <c r="B212" s="256">
        <v>62</v>
      </c>
      <c r="C212" s="257" t="s">
        <v>1085</v>
      </c>
      <c r="D212" s="257" t="s">
        <v>1085</v>
      </c>
      <c r="E212" s="22"/>
      <c r="F212" s="256"/>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row>
    <row r="213" spans="1:30" ht="15.75" customHeight="1">
      <c r="A213" s="231" t="s">
        <v>1023</v>
      </c>
      <c r="B213" s="256">
        <v>63</v>
      </c>
      <c r="C213" s="257" t="s">
        <v>1086</v>
      </c>
      <c r="D213" s="257" t="s">
        <v>1086</v>
      </c>
      <c r="E213" s="22"/>
      <c r="F213" s="256"/>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row>
    <row r="214" spans="1:30" ht="15.75" customHeight="1">
      <c r="A214" s="231" t="s">
        <v>1023</v>
      </c>
      <c r="B214" s="256">
        <v>64</v>
      </c>
      <c r="C214" s="257" t="s">
        <v>1087</v>
      </c>
      <c r="D214" s="257" t="s">
        <v>1087</v>
      </c>
      <c r="E214" s="22"/>
      <c r="F214" s="256"/>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row>
    <row r="215" spans="1:30" ht="15.75" customHeight="1">
      <c r="A215" s="231" t="s">
        <v>1023</v>
      </c>
      <c r="B215" s="256">
        <v>65</v>
      </c>
      <c r="C215" s="257" t="s">
        <v>1088</v>
      </c>
      <c r="D215" s="257" t="s">
        <v>1088</v>
      </c>
      <c r="E215" s="22"/>
      <c r="F215" s="256"/>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row>
    <row r="216" spans="1:30" ht="15.75" customHeight="1">
      <c r="A216" s="231" t="s">
        <v>1023</v>
      </c>
      <c r="B216" s="256">
        <v>66</v>
      </c>
      <c r="C216" s="257" t="s">
        <v>1089</v>
      </c>
      <c r="D216" s="257" t="s">
        <v>1089</v>
      </c>
      <c r="E216" s="22"/>
      <c r="F216" s="256"/>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row>
    <row r="217" spans="1:30" ht="15.75" customHeight="1">
      <c r="A217" s="231" t="s">
        <v>1023</v>
      </c>
      <c r="B217" s="256">
        <v>67</v>
      </c>
      <c r="C217" s="257" t="s">
        <v>1090</v>
      </c>
      <c r="D217" s="257" t="s">
        <v>1090</v>
      </c>
      <c r="E217" s="22"/>
      <c r="F217" s="256"/>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row>
    <row r="218" spans="1:30" ht="15.75" customHeight="1">
      <c r="A218" s="231" t="s">
        <v>1023</v>
      </c>
      <c r="B218" s="256">
        <v>68</v>
      </c>
      <c r="C218" s="257" t="s">
        <v>1091</v>
      </c>
      <c r="D218" s="257" t="s">
        <v>1091</v>
      </c>
      <c r="E218" s="22"/>
      <c r="F218" s="256"/>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row>
    <row r="219" spans="1:30" ht="15.75" customHeight="1">
      <c r="A219" s="231" t="s">
        <v>1023</v>
      </c>
      <c r="B219" s="256">
        <v>69</v>
      </c>
      <c r="C219" s="257" t="s">
        <v>1092</v>
      </c>
      <c r="D219" s="257" t="s">
        <v>1092</v>
      </c>
      <c r="E219" s="22"/>
      <c r="F219" s="256"/>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row>
    <row r="220" spans="1:30" ht="15.75" customHeight="1">
      <c r="A220" s="231" t="s">
        <v>1023</v>
      </c>
      <c r="B220" s="256">
        <v>70</v>
      </c>
      <c r="C220" s="257" t="s">
        <v>1093</v>
      </c>
      <c r="D220" s="257" t="s">
        <v>1093</v>
      </c>
      <c r="E220" s="22"/>
      <c r="F220" s="256"/>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row>
    <row r="221" spans="1:30" ht="15.75" customHeight="1">
      <c r="A221" s="231" t="s">
        <v>1023</v>
      </c>
      <c r="B221" s="256">
        <v>71</v>
      </c>
      <c r="C221" s="257" t="s">
        <v>1094</v>
      </c>
      <c r="D221" s="257" t="s">
        <v>1094</v>
      </c>
      <c r="E221" s="22"/>
      <c r="F221" s="256"/>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row>
    <row r="222" spans="1:30" ht="15.75" customHeight="1">
      <c r="A222" s="231" t="s">
        <v>1023</v>
      </c>
      <c r="B222" s="256">
        <v>72</v>
      </c>
      <c r="C222" s="257" t="s">
        <v>1095</v>
      </c>
      <c r="D222" s="257" t="s">
        <v>1095</v>
      </c>
      <c r="E222" s="22"/>
      <c r="F222" s="256"/>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row>
    <row r="223" spans="1:30" ht="15.75" customHeight="1">
      <c r="A223" s="231" t="s">
        <v>1023</v>
      </c>
      <c r="B223" s="256">
        <v>73</v>
      </c>
      <c r="C223" s="257" t="s">
        <v>1096</v>
      </c>
      <c r="D223" s="257" t="s">
        <v>1096</v>
      </c>
      <c r="E223" s="22"/>
      <c r="F223" s="256"/>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row>
    <row r="224" spans="1:30" ht="15.75" customHeight="1">
      <c r="A224" s="231" t="s">
        <v>1023</v>
      </c>
      <c r="B224" s="256">
        <v>74</v>
      </c>
      <c r="C224" s="257" t="s">
        <v>1097</v>
      </c>
      <c r="D224" s="257" t="s">
        <v>1097</v>
      </c>
      <c r="E224" s="22"/>
      <c r="F224" s="256"/>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row>
    <row r="225" spans="1:30" ht="15.75" customHeight="1">
      <c r="A225" s="231" t="s">
        <v>1023</v>
      </c>
      <c r="B225" s="256">
        <v>75</v>
      </c>
      <c r="C225" s="257" t="s">
        <v>1098</v>
      </c>
      <c r="D225" s="257" t="s">
        <v>1098</v>
      </c>
      <c r="E225" s="22"/>
      <c r="F225" s="256"/>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row>
    <row r="226" spans="1:30" ht="15.75" customHeight="1">
      <c r="A226" s="231" t="s">
        <v>1023</v>
      </c>
      <c r="B226" s="256">
        <v>76</v>
      </c>
      <c r="C226" s="257" t="s">
        <v>1099</v>
      </c>
      <c r="D226" s="257" t="s">
        <v>1099</v>
      </c>
      <c r="E226" s="22"/>
      <c r="F226" s="256"/>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row>
    <row r="227" spans="1:30" ht="15.75" customHeight="1">
      <c r="A227" s="231" t="s">
        <v>1023</v>
      </c>
      <c r="B227" s="256">
        <v>77</v>
      </c>
      <c r="C227" s="257" t="s">
        <v>1100</v>
      </c>
      <c r="D227" s="257" t="s">
        <v>1100</v>
      </c>
      <c r="E227" s="22"/>
      <c r="F227" s="256"/>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row>
    <row r="228" spans="1:30" ht="15.75" customHeight="1">
      <c r="A228" s="231" t="s">
        <v>1023</v>
      </c>
      <c r="B228" s="256">
        <v>78</v>
      </c>
      <c r="C228" s="257" t="s">
        <v>1101</v>
      </c>
      <c r="D228" s="257" t="s">
        <v>1101</v>
      </c>
      <c r="E228" s="22"/>
      <c r="F228" s="256"/>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row>
    <row r="229" spans="1:30" ht="15.75" customHeight="1">
      <c r="A229" s="231" t="s">
        <v>1023</v>
      </c>
      <c r="B229" s="256">
        <v>79</v>
      </c>
      <c r="C229" s="257" t="s">
        <v>1102</v>
      </c>
      <c r="D229" s="257" t="s">
        <v>1102</v>
      </c>
      <c r="E229" s="22"/>
      <c r="F229" s="256"/>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row>
    <row r="230" spans="1:30" ht="15.75" customHeight="1">
      <c r="A230" s="231" t="s">
        <v>1023</v>
      </c>
      <c r="B230" s="256">
        <v>80</v>
      </c>
      <c r="C230" s="257" t="s">
        <v>1103</v>
      </c>
      <c r="D230" s="257" t="s">
        <v>1103</v>
      </c>
      <c r="E230" s="22"/>
      <c r="F230" s="256"/>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row>
    <row r="231" spans="1:30" ht="15.75" customHeight="1">
      <c r="A231" s="231" t="s">
        <v>1023</v>
      </c>
      <c r="B231" s="256">
        <v>81</v>
      </c>
      <c r="C231" s="257" t="s">
        <v>1104</v>
      </c>
      <c r="D231" s="257" t="s">
        <v>1104</v>
      </c>
      <c r="E231" s="22"/>
      <c r="F231" s="256"/>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row>
    <row r="232" spans="1:30" ht="15.75" customHeight="1">
      <c r="A232" s="231" t="s">
        <v>1023</v>
      </c>
      <c r="B232" s="256">
        <v>82</v>
      </c>
      <c r="C232" s="257" t="s">
        <v>1105</v>
      </c>
      <c r="D232" s="257" t="s">
        <v>1105</v>
      </c>
      <c r="E232" s="22"/>
      <c r="F232" s="256"/>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row>
    <row r="233" spans="1:30" ht="15.75" customHeight="1">
      <c r="A233" s="231" t="s">
        <v>1023</v>
      </c>
      <c r="B233" s="256">
        <v>83</v>
      </c>
      <c r="C233" s="257" t="s">
        <v>1106</v>
      </c>
      <c r="D233" s="257" t="s">
        <v>1106</v>
      </c>
      <c r="E233" s="22"/>
      <c r="F233" s="256"/>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row>
    <row r="234" spans="1:30" ht="15.75" customHeight="1">
      <c r="A234" s="231" t="s">
        <v>1023</v>
      </c>
      <c r="B234" s="256">
        <v>84</v>
      </c>
      <c r="C234" s="257" t="s">
        <v>1107</v>
      </c>
      <c r="D234" s="257" t="s">
        <v>1107</v>
      </c>
      <c r="E234" s="22"/>
      <c r="F234" s="256"/>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row>
    <row r="235" spans="1:30" ht="15.75" customHeight="1">
      <c r="A235" s="231" t="s">
        <v>1023</v>
      </c>
      <c r="B235" s="256">
        <v>85</v>
      </c>
      <c r="C235" s="257" t="s">
        <v>1108</v>
      </c>
      <c r="D235" s="257" t="s">
        <v>1108</v>
      </c>
      <c r="E235" s="22"/>
      <c r="F235" s="256"/>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row>
    <row r="236" spans="1:30" ht="15.75" customHeight="1">
      <c r="A236" s="231" t="s">
        <v>1023</v>
      </c>
      <c r="B236" s="256">
        <v>86</v>
      </c>
      <c r="C236" s="257" t="s">
        <v>1109</v>
      </c>
      <c r="D236" s="257" t="s">
        <v>1109</v>
      </c>
      <c r="E236" s="22"/>
      <c r="F236" s="256"/>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row>
    <row r="237" spans="1:30" ht="15.75" customHeight="1">
      <c r="A237" s="231" t="s">
        <v>1023</v>
      </c>
      <c r="B237" s="256">
        <v>87</v>
      </c>
      <c r="C237" s="257" t="s">
        <v>1110</v>
      </c>
      <c r="D237" s="257" t="s">
        <v>1110</v>
      </c>
      <c r="E237" s="22"/>
      <c r="F237" s="256"/>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row>
    <row r="238" spans="1:30" ht="15.75" customHeight="1">
      <c r="A238" s="231" t="s">
        <v>1023</v>
      </c>
      <c r="B238" s="256">
        <v>88</v>
      </c>
      <c r="C238" s="257" t="s">
        <v>1111</v>
      </c>
      <c r="D238" s="257" t="s">
        <v>1111</v>
      </c>
      <c r="E238" s="22"/>
      <c r="F238" s="256"/>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row>
    <row r="239" spans="1:30" ht="15.75" customHeight="1">
      <c r="A239" s="231" t="s">
        <v>1023</v>
      </c>
      <c r="B239" s="256">
        <v>89</v>
      </c>
      <c r="C239" s="257" t="s">
        <v>1112</v>
      </c>
      <c r="D239" s="257" t="s">
        <v>1112</v>
      </c>
      <c r="E239" s="22"/>
      <c r="F239" s="256"/>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row>
    <row r="240" spans="1:30" ht="15.75" customHeight="1">
      <c r="A240" s="231" t="s">
        <v>1023</v>
      </c>
      <c r="B240" s="256">
        <v>90</v>
      </c>
      <c r="C240" s="257" t="s">
        <v>1113</v>
      </c>
      <c r="D240" s="257" t="s">
        <v>1113</v>
      </c>
      <c r="E240" s="22"/>
      <c r="F240" s="256"/>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row>
    <row r="241" spans="1:30" ht="15.75" customHeight="1">
      <c r="A241" s="231" t="s">
        <v>1023</v>
      </c>
      <c r="B241" s="256">
        <v>91</v>
      </c>
      <c r="C241" s="257" t="s">
        <v>1114</v>
      </c>
      <c r="D241" s="257" t="s">
        <v>1114</v>
      </c>
      <c r="E241" s="22"/>
      <c r="F241" s="256"/>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row>
    <row r="242" spans="1:30" ht="15.75" customHeight="1">
      <c r="A242" s="231" t="s">
        <v>1023</v>
      </c>
      <c r="B242" s="256">
        <v>92</v>
      </c>
      <c r="C242" s="257" t="s">
        <v>1115</v>
      </c>
      <c r="D242" s="257" t="s">
        <v>1115</v>
      </c>
      <c r="E242" s="22"/>
      <c r="F242" s="256"/>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row>
    <row r="243" spans="1:30" ht="15.75" customHeight="1">
      <c r="A243" s="231" t="s">
        <v>1023</v>
      </c>
      <c r="B243" s="256">
        <v>93</v>
      </c>
      <c r="C243" s="257" t="s">
        <v>1116</v>
      </c>
      <c r="D243" s="257" t="s">
        <v>1116</v>
      </c>
      <c r="E243" s="22"/>
      <c r="F243" s="256"/>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row>
    <row r="244" spans="1:30" ht="15.75" customHeight="1">
      <c r="A244" s="231" t="s">
        <v>1023</v>
      </c>
      <c r="B244" s="256">
        <v>94</v>
      </c>
      <c r="C244" s="257" t="s">
        <v>1117</v>
      </c>
      <c r="D244" s="257" t="s">
        <v>1117</v>
      </c>
      <c r="E244" s="22"/>
      <c r="F244" s="256"/>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row>
    <row r="245" spans="1:30" ht="15.75" customHeight="1">
      <c r="A245" s="231" t="s">
        <v>1023</v>
      </c>
      <c r="B245" s="256">
        <v>95</v>
      </c>
      <c r="C245" s="257" t="s">
        <v>1118</v>
      </c>
      <c r="D245" s="257" t="s">
        <v>1118</v>
      </c>
      <c r="E245" s="22"/>
      <c r="F245" s="256"/>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row>
    <row r="246" spans="1:30" ht="15.75" customHeight="1">
      <c r="A246" s="231" t="s">
        <v>1023</v>
      </c>
      <c r="B246" s="256">
        <v>96</v>
      </c>
      <c r="C246" s="257" t="s">
        <v>1119</v>
      </c>
      <c r="D246" s="257" t="s">
        <v>1119</v>
      </c>
      <c r="E246" s="22"/>
      <c r="F246" s="256"/>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row>
    <row r="247" spans="1:30" ht="15.75" customHeight="1">
      <c r="A247" s="231" t="s">
        <v>1023</v>
      </c>
      <c r="B247" s="256">
        <v>97</v>
      </c>
      <c r="C247" s="257" t="s">
        <v>1120</v>
      </c>
      <c r="D247" s="257" t="s">
        <v>1120</v>
      </c>
      <c r="E247" s="22"/>
      <c r="F247" s="256"/>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row>
    <row r="248" spans="1:30" ht="15.75" customHeight="1">
      <c r="A248" s="231" t="s">
        <v>1023</v>
      </c>
      <c r="B248" s="256">
        <v>98</v>
      </c>
      <c r="C248" s="257" t="s">
        <v>1121</v>
      </c>
      <c r="D248" s="257" t="s">
        <v>1121</v>
      </c>
      <c r="E248" s="22"/>
      <c r="F248" s="256"/>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row>
    <row r="249" spans="1:30" ht="15.75" customHeight="1">
      <c r="A249" s="231" t="s">
        <v>1023</v>
      </c>
      <c r="B249" s="256">
        <v>99</v>
      </c>
      <c r="C249" s="257" t="s">
        <v>1122</v>
      </c>
      <c r="D249" s="257" t="s">
        <v>1122</v>
      </c>
      <c r="E249" s="22"/>
      <c r="F249" s="256"/>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row>
    <row r="250" spans="1:30" ht="15.75" customHeight="1">
      <c r="A250" s="231" t="s">
        <v>1023</v>
      </c>
      <c r="B250" s="256">
        <v>100</v>
      </c>
      <c r="C250" s="257" t="s">
        <v>1123</v>
      </c>
      <c r="D250" s="257" t="s">
        <v>1123</v>
      </c>
      <c r="E250" s="22"/>
      <c r="F250" s="256"/>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row>
    <row r="251" spans="1:30" ht="15.75" customHeight="1">
      <c r="A251" s="231" t="s">
        <v>1023</v>
      </c>
      <c r="B251" s="256">
        <v>101</v>
      </c>
      <c r="C251" s="257" t="s">
        <v>1124</v>
      </c>
      <c r="D251" s="257" t="s">
        <v>1124</v>
      </c>
      <c r="E251" s="22"/>
      <c r="F251" s="256"/>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row>
    <row r="252" spans="1:30" ht="15.75" customHeight="1">
      <c r="A252" s="231" t="s">
        <v>1023</v>
      </c>
      <c r="B252" s="256">
        <v>102</v>
      </c>
      <c r="C252" s="257" t="s">
        <v>1125</v>
      </c>
      <c r="D252" s="257" t="s">
        <v>1125</v>
      </c>
      <c r="E252" s="22"/>
      <c r="F252" s="256"/>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row>
    <row r="253" spans="1:30" ht="15.75" customHeight="1">
      <c r="A253" s="231" t="s">
        <v>1023</v>
      </c>
      <c r="B253" s="256">
        <v>103</v>
      </c>
      <c r="C253" s="257" t="s">
        <v>1126</v>
      </c>
      <c r="D253" s="257" t="s">
        <v>1126</v>
      </c>
      <c r="E253" s="22"/>
      <c r="F253" s="256"/>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row>
    <row r="254" spans="1:30" ht="15.75" customHeight="1">
      <c r="A254" s="231" t="s">
        <v>1023</v>
      </c>
      <c r="B254" s="256">
        <v>104</v>
      </c>
      <c r="C254" s="257" t="s">
        <v>1127</v>
      </c>
      <c r="D254" s="257" t="s">
        <v>1127</v>
      </c>
      <c r="E254" s="22"/>
      <c r="F254" s="256"/>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row>
    <row r="255" spans="1:30" ht="15.75" customHeight="1">
      <c r="A255" s="231" t="s">
        <v>1023</v>
      </c>
      <c r="B255" s="256">
        <v>105</v>
      </c>
      <c r="C255" s="257" t="s">
        <v>1128</v>
      </c>
      <c r="D255" s="257" t="s">
        <v>1128</v>
      </c>
      <c r="E255" s="22"/>
      <c r="F255" s="256"/>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row>
    <row r="256" spans="1:30" ht="15.75" customHeight="1">
      <c r="A256" s="231" t="s">
        <v>1023</v>
      </c>
      <c r="B256" s="256">
        <v>106</v>
      </c>
      <c r="C256" s="257" t="s">
        <v>1129</v>
      </c>
      <c r="D256" s="257" t="s">
        <v>1129</v>
      </c>
      <c r="E256" s="22"/>
      <c r="F256" s="256"/>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row>
    <row r="257" spans="1:30" ht="15.75" customHeight="1">
      <c r="A257" s="231" t="s">
        <v>1023</v>
      </c>
      <c r="B257" s="256">
        <v>107</v>
      </c>
      <c r="C257" s="257" t="s">
        <v>1130</v>
      </c>
      <c r="D257" s="257" t="s">
        <v>1130</v>
      </c>
      <c r="E257" s="22"/>
      <c r="F257" s="256"/>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row>
    <row r="258" spans="1:30" ht="15.75" customHeight="1">
      <c r="A258" s="231" t="s">
        <v>1023</v>
      </c>
      <c r="B258" s="256">
        <v>108</v>
      </c>
      <c r="C258" s="257" t="s">
        <v>1131</v>
      </c>
      <c r="D258" s="257" t="s">
        <v>1131</v>
      </c>
      <c r="E258" s="22"/>
      <c r="F258" s="256"/>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row>
    <row r="259" spans="1:30" ht="15.75" customHeight="1">
      <c r="A259" s="231" t="s">
        <v>1023</v>
      </c>
      <c r="B259" s="256">
        <v>109</v>
      </c>
      <c r="C259" s="257" t="s">
        <v>1132</v>
      </c>
      <c r="D259" s="257" t="s">
        <v>1132</v>
      </c>
      <c r="E259" s="22"/>
      <c r="F259" s="256"/>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row>
    <row r="260" spans="1:30" ht="15.75" customHeight="1">
      <c r="A260" s="231" t="s">
        <v>1023</v>
      </c>
      <c r="B260" s="256">
        <v>110</v>
      </c>
      <c r="C260" s="257" t="s">
        <v>1133</v>
      </c>
      <c r="D260" s="257" t="s">
        <v>1133</v>
      </c>
      <c r="E260" s="22"/>
      <c r="F260" s="256"/>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row>
    <row r="261" spans="1:30" ht="15.75" customHeight="1">
      <c r="A261" s="231" t="s">
        <v>1023</v>
      </c>
      <c r="B261" s="256">
        <v>111</v>
      </c>
      <c r="C261" s="257" t="s">
        <v>1134</v>
      </c>
      <c r="D261" s="257" t="s">
        <v>1134</v>
      </c>
      <c r="E261" s="22"/>
      <c r="F261" s="256"/>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row>
    <row r="262" spans="1:30" ht="15.75" customHeight="1">
      <c r="A262" s="231" t="s">
        <v>1023</v>
      </c>
      <c r="B262" s="256">
        <v>112</v>
      </c>
      <c r="C262" s="257" t="s">
        <v>1135</v>
      </c>
      <c r="D262" s="257" t="s">
        <v>1135</v>
      </c>
      <c r="E262" s="22"/>
      <c r="F262" s="256"/>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row>
    <row r="263" spans="1:30" ht="15.75" customHeight="1">
      <c r="A263" s="231" t="s">
        <v>1023</v>
      </c>
      <c r="B263" s="256">
        <v>113</v>
      </c>
      <c r="C263" s="257" t="s">
        <v>1136</v>
      </c>
      <c r="D263" s="257" t="s">
        <v>1136</v>
      </c>
      <c r="E263" s="22"/>
      <c r="F263" s="256"/>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row>
    <row r="264" spans="1:30" ht="15.75" customHeight="1">
      <c r="A264" s="231" t="s">
        <v>1023</v>
      </c>
      <c r="B264" s="256">
        <v>114</v>
      </c>
      <c r="C264" s="257" t="s">
        <v>1137</v>
      </c>
      <c r="D264" s="257" t="s">
        <v>1137</v>
      </c>
      <c r="E264" s="22"/>
      <c r="F264" s="256"/>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row>
    <row r="265" spans="1:30" ht="15.75" customHeight="1">
      <c r="A265" s="231" t="s">
        <v>1023</v>
      </c>
      <c r="B265" s="256">
        <v>115</v>
      </c>
      <c r="C265" s="257" t="s">
        <v>1138</v>
      </c>
      <c r="D265" s="257" t="s">
        <v>1138</v>
      </c>
      <c r="E265" s="22"/>
      <c r="F265" s="256"/>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row>
    <row r="266" spans="1:30" ht="15.75" customHeight="1">
      <c r="A266" s="231" t="s">
        <v>1023</v>
      </c>
      <c r="B266" s="256">
        <v>116</v>
      </c>
      <c r="C266" s="257" t="s">
        <v>1139</v>
      </c>
      <c r="D266" s="257" t="s">
        <v>1139</v>
      </c>
      <c r="E266" s="22"/>
      <c r="F266" s="256"/>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row>
    <row r="267" spans="1:30" ht="15.75" customHeight="1">
      <c r="A267" s="231" t="s">
        <v>1023</v>
      </c>
      <c r="B267" s="256">
        <v>117</v>
      </c>
      <c r="C267" s="257" t="s">
        <v>1140</v>
      </c>
      <c r="D267" s="257" t="s">
        <v>1140</v>
      </c>
      <c r="E267" s="22"/>
      <c r="F267" s="256"/>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row>
    <row r="268" spans="1:30" ht="15.75" customHeight="1">
      <c r="A268" s="231" t="s">
        <v>1023</v>
      </c>
      <c r="B268" s="256">
        <v>118</v>
      </c>
      <c r="C268" s="257" t="s">
        <v>1141</v>
      </c>
      <c r="D268" s="257" t="s">
        <v>1141</v>
      </c>
      <c r="E268" s="22"/>
      <c r="F268" s="256"/>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row>
    <row r="269" spans="1:30" ht="15.75" customHeight="1">
      <c r="A269" s="231" t="s">
        <v>1023</v>
      </c>
      <c r="B269" s="256">
        <v>119</v>
      </c>
      <c r="C269" s="257" t="s">
        <v>1142</v>
      </c>
      <c r="D269" s="257" t="s">
        <v>1142</v>
      </c>
      <c r="E269" s="22"/>
      <c r="F269" s="256"/>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row>
    <row r="270" spans="1:30" ht="15.75" customHeight="1">
      <c r="A270" s="231" t="s">
        <v>1023</v>
      </c>
      <c r="B270" s="256">
        <v>120</v>
      </c>
      <c r="C270" s="257" t="s">
        <v>1143</v>
      </c>
      <c r="D270" s="257" t="s">
        <v>1143</v>
      </c>
      <c r="E270" s="22"/>
      <c r="F270" s="256"/>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row>
    <row r="271" spans="1:30" ht="15.75" customHeight="1">
      <c r="A271" s="231" t="s">
        <v>1023</v>
      </c>
      <c r="B271" s="256">
        <v>121</v>
      </c>
      <c r="C271" s="257" t="s">
        <v>1144</v>
      </c>
      <c r="D271" s="257" t="s">
        <v>1144</v>
      </c>
      <c r="E271" s="22"/>
      <c r="F271" s="256"/>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row>
    <row r="272" spans="1:30" ht="15.75" customHeight="1">
      <c r="A272" s="231" t="s">
        <v>1023</v>
      </c>
      <c r="B272" s="256">
        <v>122</v>
      </c>
      <c r="C272" s="257" t="s">
        <v>1145</v>
      </c>
      <c r="D272" s="257" t="s">
        <v>1145</v>
      </c>
      <c r="E272" s="22"/>
      <c r="F272" s="256"/>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row>
    <row r="273" spans="1:30" ht="15.75" customHeight="1">
      <c r="A273" s="231" t="s">
        <v>1023</v>
      </c>
      <c r="B273" s="256">
        <v>123</v>
      </c>
      <c r="C273" s="257" t="s">
        <v>1146</v>
      </c>
      <c r="D273" s="257" t="s">
        <v>1146</v>
      </c>
      <c r="E273" s="22"/>
      <c r="F273" s="256"/>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row>
    <row r="274" spans="1:30" ht="15.75" customHeight="1">
      <c r="A274" s="231" t="s">
        <v>1023</v>
      </c>
      <c r="B274" s="256">
        <v>124</v>
      </c>
      <c r="C274" s="257" t="s">
        <v>1147</v>
      </c>
      <c r="D274" s="257" t="s">
        <v>1147</v>
      </c>
      <c r="E274" s="22"/>
      <c r="F274" s="256"/>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row>
    <row r="275" spans="1:30" ht="15.75" customHeight="1">
      <c r="A275" s="231" t="s">
        <v>1023</v>
      </c>
      <c r="B275" s="256">
        <v>125</v>
      </c>
      <c r="C275" s="257" t="s">
        <v>1148</v>
      </c>
      <c r="D275" s="257" t="s">
        <v>1148</v>
      </c>
      <c r="E275" s="22"/>
      <c r="F275" s="256"/>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row>
    <row r="276" spans="1:30" ht="15.75" customHeight="1">
      <c r="A276" s="231" t="s">
        <v>1023</v>
      </c>
      <c r="B276" s="256">
        <v>126</v>
      </c>
      <c r="C276" s="257" t="s">
        <v>1149</v>
      </c>
      <c r="D276" s="257" t="s">
        <v>1149</v>
      </c>
      <c r="E276" s="22"/>
      <c r="F276" s="256"/>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row>
    <row r="277" spans="1:30" ht="15.75" customHeight="1">
      <c r="A277" s="231" t="s">
        <v>1023</v>
      </c>
      <c r="B277" s="256">
        <v>127</v>
      </c>
      <c r="C277" s="257" t="s">
        <v>1150</v>
      </c>
      <c r="D277" s="257" t="s">
        <v>1150</v>
      </c>
      <c r="E277" s="22"/>
      <c r="F277" s="256"/>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row>
    <row r="278" spans="1:30" ht="15.75" customHeight="1">
      <c r="A278" s="231" t="s">
        <v>1023</v>
      </c>
      <c r="B278" s="256">
        <v>128</v>
      </c>
      <c r="C278" s="257" t="s">
        <v>1151</v>
      </c>
      <c r="D278" s="257" t="s">
        <v>1151</v>
      </c>
      <c r="E278" s="22"/>
      <c r="F278" s="256"/>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row>
    <row r="279" spans="1:30" ht="15.75" customHeight="1">
      <c r="A279" s="231" t="s">
        <v>1023</v>
      </c>
      <c r="B279" s="256">
        <v>129</v>
      </c>
      <c r="C279" s="257" t="s">
        <v>1152</v>
      </c>
      <c r="D279" s="257" t="s">
        <v>1152</v>
      </c>
      <c r="E279" s="22"/>
      <c r="F279" s="256"/>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row>
    <row r="280" spans="1:30" ht="15.75" customHeight="1">
      <c r="A280" s="231" t="s">
        <v>1023</v>
      </c>
      <c r="B280" s="256">
        <v>130</v>
      </c>
      <c r="C280" s="257" t="s">
        <v>1153</v>
      </c>
      <c r="D280" s="257" t="s">
        <v>1153</v>
      </c>
      <c r="E280" s="22"/>
      <c r="F280" s="256"/>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row>
    <row r="281" spans="1:30" ht="15.75" customHeight="1">
      <c r="A281" s="231" t="s">
        <v>1023</v>
      </c>
      <c r="B281" s="256">
        <v>131</v>
      </c>
      <c r="C281" s="257" t="s">
        <v>1154</v>
      </c>
      <c r="D281" s="257" t="s">
        <v>1154</v>
      </c>
      <c r="E281" s="22"/>
      <c r="F281" s="256"/>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row>
    <row r="282" spans="1:30" ht="15.75" customHeight="1">
      <c r="A282" s="231" t="s">
        <v>1023</v>
      </c>
      <c r="B282" s="256">
        <v>132</v>
      </c>
      <c r="C282" s="257" t="s">
        <v>1155</v>
      </c>
      <c r="D282" s="257" t="s">
        <v>1155</v>
      </c>
      <c r="E282" s="22"/>
      <c r="F282" s="256"/>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row>
    <row r="283" spans="1:30" ht="15.75" customHeight="1">
      <c r="A283" s="231" t="s">
        <v>1023</v>
      </c>
      <c r="B283" s="256">
        <v>133</v>
      </c>
      <c r="C283" s="257" t="s">
        <v>1156</v>
      </c>
      <c r="D283" s="257" t="s">
        <v>1156</v>
      </c>
      <c r="E283" s="22"/>
      <c r="F283" s="256"/>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row>
    <row r="284" spans="1:30" ht="15.75" customHeight="1">
      <c r="A284" s="231" t="s">
        <v>1023</v>
      </c>
      <c r="B284" s="256">
        <v>134</v>
      </c>
      <c r="C284" s="257" t="s">
        <v>1157</v>
      </c>
      <c r="D284" s="257" t="s">
        <v>1157</v>
      </c>
      <c r="E284" s="22"/>
      <c r="F284" s="256"/>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row>
    <row r="285" spans="1:30" ht="15.75" customHeight="1">
      <c r="A285" s="231" t="s">
        <v>1023</v>
      </c>
      <c r="B285" s="256">
        <v>135</v>
      </c>
      <c r="C285" s="257" t="s">
        <v>1158</v>
      </c>
      <c r="D285" s="257" t="s">
        <v>1158</v>
      </c>
      <c r="E285" s="22"/>
      <c r="F285" s="256"/>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row>
    <row r="286" spans="1:30" ht="15.75" customHeight="1">
      <c r="A286" s="231" t="s">
        <v>1023</v>
      </c>
      <c r="B286" s="256">
        <v>136</v>
      </c>
      <c r="C286" s="257" t="s">
        <v>1159</v>
      </c>
      <c r="D286" s="257" t="s">
        <v>1159</v>
      </c>
      <c r="E286" s="22"/>
      <c r="F286" s="256"/>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row>
    <row r="287" spans="1:30" ht="15.75" customHeight="1">
      <c r="A287" s="231" t="s">
        <v>1023</v>
      </c>
      <c r="B287" s="256">
        <v>137</v>
      </c>
      <c r="C287" s="257" t="s">
        <v>1160</v>
      </c>
      <c r="D287" s="257" t="s">
        <v>1160</v>
      </c>
      <c r="E287" s="22"/>
      <c r="F287" s="256"/>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row>
    <row r="288" spans="1:30" ht="15.75" customHeight="1">
      <c r="A288" s="231" t="s">
        <v>1023</v>
      </c>
      <c r="B288" s="256">
        <v>138</v>
      </c>
      <c r="C288" s="257" t="s">
        <v>1161</v>
      </c>
      <c r="D288" s="257" t="s">
        <v>1161</v>
      </c>
      <c r="E288" s="22"/>
      <c r="F288" s="256"/>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row>
    <row r="289" spans="1:30" ht="15.75" customHeight="1">
      <c r="A289" s="231" t="s">
        <v>1023</v>
      </c>
      <c r="B289" s="256">
        <v>139</v>
      </c>
      <c r="C289" s="257" t="s">
        <v>1162</v>
      </c>
      <c r="D289" s="257" t="s">
        <v>1162</v>
      </c>
      <c r="E289" s="22"/>
      <c r="F289" s="256"/>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row>
    <row r="290" spans="1:30" ht="15.75" customHeight="1">
      <c r="A290" s="231" t="s">
        <v>1023</v>
      </c>
      <c r="B290" s="256">
        <v>140</v>
      </c>
      <c r="C290" s="257" t="s">
        <v>1163</v>
      </c>
      <c r="D290" s="257" t="s">
        <v>1163</v>
      </c>
      <c r="E290" s="22"/>
      <c r="F290" s="256"/>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row>
    <row r="291" spans="1:30" ht="15.75" customHeight="1">
      <c r="A291" s="231" t="s">
        <v>1023</v>
      </c>
      <c r="B291" s="256">
        <v>141</v>
      </c>
      <c r="C291" s="257" t="s">
        <v>1164</v>
      </c>
      <c r="D291" s="257" t="s">
        <v>1164</v>
      </c>
      <c r="E291" s="22"/>
      <c r="F291" s="256"/>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row>
    <row r="292" spans="1:30" ht="15.75" customHeight="1">
      <c r="A292" s="231" t="s">
        <v>1023</v>
      </c>
      <c r="B292" s="256">
        <v>142</v>
      </c>
      <c r="C292" s="257" t="s">
        <v>1165</v>
      </c>
      <c r="D292" s="257" t="s">
        <v>1165</v>
      </c>
      <c r="E292" s="22"/>
      <c r="F292" s="256"/>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row>
    <row r="293" spans="1:30" ht="15.75" customHeight="1">
      <c r="A293" s="231" t="s">
        <v>1023</v>
      </c>
      <c r="B293" s="256">
        <v>143</v>
      </c>
      <c r="C293" s="257" t="s">
        <v>1166</v>
      </c>
      <c r="D293" s="257" t="s">
        <v>1166</v>
      </c>
      <c r="E293" s="22"/>
      <c r="F293" s="256"/>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row>
    <row r="294" spans="1:30" ht="15.75" customHeight="1">
      <c r="A294" s="231" t="s">
        <v>1023</v>
      </c>
      <c r="B294" s="256">
        <v>144</v>
      </c>
      <c r="C294" s="257" t="s">
        <v>1167</v>
      </c>
      <c r="D294" s="257" t="s">
        <v>1167</v>
      </c>
      <c r="E294" s="22"/>
      <c r="F294" s="256"/>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row>
    <row r="295" spans="1:30" ht="15.75" customHeight="1">
      <c r="A295" s="231" t="s">
        <v>1023</v>
      </c>
      <c r="B295" s="256">
        <v>145</v>
      </c>
      <c r="C295" s="257" t="s">
        <v>1168</v>
      </c>
      <c r="D295" s="257" t="s">
        <v>1168</v>
      </c>
      <c r="E295" s="22"/>
      <c r="F295" s="256"/>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row>
    <row r="296" spans="1:30" ht="15.75" customHeight="1">
      <c r="A296" s="231" t="s">
        <v>1023</v>
      </c>
      <c r="B296" s="256">
        <v>146</v>
      </c>
      <c r="C296" s="257" t="s">
        <v>1169</v>
      </c>
      <c r="D296" s="257" t="s">
        <v>1169</v>
      </c>
      <c r="E296" s="22"/>
      <c r="F296" s="256"/>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row>
    <row r="297" spans="1:30" ht="15.75" customHeight="1">
      <c r="A297" s="231" t="s">
        <v>1023</v>
      </c>
      <c r="B297" s="256">
        <v>147</v>
      </c>
      <c r="C297" s="257" t="s">
        <v>1170</v>
      </c>
      <c r="D297" s="257" t="s">
        <v>1170</v>
      </c>
      <c r="E297" s="22"/>
      <c r="F297" s="256"/>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row>
    <row r="298" spans="1:30" ht="15.75" customHeight="1">
      <c r="A298" s="231" t="s">
        <v>1023</v>
      </c>
      <c r="B298" s="256">
        <v>148</v>
      </c>
      <c r="C298" s="257" t="s">
        <v>1171</v>
      </c>
      <c r="D298" s="257" t="s">
        <v>1171</v>
      </c>
      <c r="E298" s="22"/>
      <c r="F298" s="256"/>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row>
    <row r="299" spans="1:30" ht="15.75" customHeight="1">
      <c r="A299" s="231" t="s">
        <v>1023</v>
      </c>
      <c r="B299" s="256">
        <v>149</v>
      </c>
      <c r="C299" s="257" t="s">
        <v>1172</v>
      </c>
      <c r="D299" s="257" t="s">
        <v>1172</v>
      </c>
      <c r="E299" s="22"/>
      <c r="F299" s="256"/>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row>
    <row r="300" spans="1:30" ht="15.75" customHeight="1">
      <c r="A300" s="231" t="s">
        <v>1023</v>
      </c>
      <c r="B300" s="256">
        <v>150</v>
      </c>
      <c r="C300" s="257" t="s">
        <v>1173</v>
      </c>
      <c r="D300" s="257" t="s">
        <v>1173</v>
      </c>
      <c r="E300" s="22"/>
      <c r="F300" s="256"/>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row>
    <row r="301" spans="1:30" ht="15.75" customHeight="1">
      <c r="A301" s="231" t="s">
        <v>1023</v>
      </c>
      <c r="B301" s="256">
        <v>151</v>
      </c>
      <c r="C301" s="257" t="s">
        <v>1174</v>
      </c>
      <c r="D301" s="257" t="s">
        <v>1174</v>
      </c>
      <c r="E301" s="22"/>
      <c r="F301" s="256"/>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row>
    <row r="302" spans="1:30" ht="15.75" customHeight="1">
      <c r="A302" s="231" t="s">
        <v>1023</v>
      </c>
      <c r="B302" s="256">
        <v>152</v>
      </c>
      <c r="C302" s="257" t="s">
        <v>1175</v>
      </c>
      <c r="D302" s="257" t="s">
        <v>1175</v>
      </c>
      <c r="E302" s="22"/>
      <c r="F302" s="256"/>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row>
    <row r="303" spans="1:30" ht="15.75" customHeight="1">
      <c r="A303" s="231" t="s">
        <v>1023</v>
      </c>
      <c r="B303" s="256">
        <v>153</v>
      </c>
      <c r="C303" s="257" t="s">
        <v>1176</v>
      </c>
      <c r="D303" s="257" t="s">
        <v>1176</v>
      </c>
      <c r="E303" s="22"/>
      <c r="F303" s="256"/>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row>
    <row r="304" spans="1:30" ht="15.75" customHeight="1">
      <c r="A304" s="231" t="s">
        <v>1023</v>
      </c>
      <c r="B304" s="256">
        <v>154</v>
      </c>
      <c r="C304" s="257" t="s">
        <v>1177</v>
      </c>
      <c r="D304" s="257" t="s">
        <v>1177</v>
      </c>
      <c r="E304" s="22"/>
      <c r="F304" s="256"/>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row>
    <row r="305" spans="1:30" ht="15.75" customHeight="1">
      <c r="A305" s="231" t="s">
        <v>1023</v>
      </c>
      <c r="B305" s="256">
        <v>155</v>
      </c>
      <c r="C305" s="257" t="s">
        <v>1178</v>
      </c>
      <c r="D305" s="257" t="s">
        <v>1178</v>
      </c>
      <c r="E305" s="22"/>
      <c r="F305" s="256"/>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row>
    <row r="306" spans="1:30" ht="15.75" customHeight="1">
      <c r="A306" s="231" t="s">
        <v>1023</v>
      </c>
      <c r="B306" s="256">
        <v>156</v>
      </c>
      <c r="C306" s="257" t="s">
        <v>1179</v>
      </c>
      <c r="D306" s="257" t="s">
        <v>1179</v>
      </c>
      <c r="E306" s="22"/>
      <c r="F306" s="256"/>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row>
    <row r="307" spans="1:30" ht="15.75" customHeight="1">
      <c r="A307" s="231" t="s">
        <v>1023</v>
      </c>
      <c r="B307" s="256">
        <v>157</v>
      </c>
      <c r="C307" s="257" t="s">
        <v>1180</v>
      </c>
      <c r="D307" s="257" t="s">
        <v>1180</v>
      </c>
      <c r="E307" s="22"/>
      <c r="F307" s="256"/>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row>
    <row r="308" spans="1:30" ht="15.75" customHeight="1">
      <c r="A308" s="231" t="s">
        <v>1023</v>
      </c>
      <c r="B308" s="256">
        <v>158</v>
      </c>
      <c r="C308" s="257" t="s">
        <v>1181</v>
      </c>
      <c r="D308" s="257" t="s">
        <v>1181</v>
      </c>
      <c r="E308" s="22"/>
      <c r="F308" s="256"/>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row>
    <row r="309" spans="1:30" ht="15.75" customHeight="1">
      <c r="A309" s="231" t="s">
        <v>1023</v>
      </c>
      <c r="B309" s="256">
        <v>159</v>
      </c>
      <c r="C309" s="257" t="s">
        <v>1182</v>
      </c>
      <c r="D309" s="257" t="s">
        <v>1182</v>
      </c>
      <c r="E309" s="22"/>
      <c r="F309" s="256"/>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row>
    <row r="310" spans="1:30" ht="15.75" customHeight="1">
      <c r="A310" s="231" t="s">
        <v>1023</v>
      </c>
      <c r="B310" s="256">
        <v>160</v>
      </c>
      <c r="C310" s="257" t="s">
        <v>1183</v>
      </c>
      <c r="D310" s="257" t="s">
        <v>1183</v>
      </c>
      <c r="E310" s="22"/>
      <c r="F310" s="256"/>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row>
    <row r="311" spans="1:30" ht="15.75" customHeight="1">
      <c r="A311" s="231" t="s">
        <v>1023</v>
      </c>
      <c r="B311" s="256">
        <v>161</v>
      </c>
      <c r="C311" s="257" t="s">
        <v>1184</v>
      </c>
      <c r="D311" s="257" t="s">
        <v>1184</v>
      </c>
      <c r="E311" s="22"/>
      <c r="F311" s="256"/>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row>
    <row r="312" spans="1:30" ht="15.75" customHeight="1">
      <c r="A312" s="231" t="s">
        <v>1023</v>
      </c>
      <c r="B312" s="256">
        <v>162</v>
      </c>
      <c r="C312" s="257" t="s">
        <v>1185</v>
      </c>
      <c r="D312" s="257" t="s">
        <v>1185</v>
      </c>
      <c r="E312" s="22"/>
      <c r="F312" s="256"/>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row>
    <row r="313" spans="1:30" ht="15.75" customHeight="1">
      <c r="A313" s="231" t="s">
        <v>1023</v>
      </c>
      <c r="B313" s="256">
        <v>163</v>
      </c>
      <c r="C313" s="257" t="s">
        <v>1186</v>
      </c>
      <c r="D313" s="257" t="s">
        <v>1186</v>
      </c>
      <c r="E313" s="22"/>
      <c r="F313" s="256"/>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row>
    <row r="314" spans="1:30" ht="15.75" customHeight="1">
      <c r="A314" s="231" t="s">
        <v>1023</v>
      </c>
      <c r="B314" s="256">
        <v>164</v>
      </c>
      <c r="C314" s="257" t="s">
        <v>1187</v>
      </c>
      <c r="D314" s="257" t="s">
        <v>1187</v>
      </c>
      <c r="E314" s="22"/>
      <c r="F314" s="256"/>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row>
    <row r="315" spans="1:30" ht="15.75" customHeight="1">
      <c r="A315" s="231" t="s">
        <v>1023</v>
      </c>
      <c r="B315" s="256">
        <v>165</v>
      </c>
      <c r="C315" s="257" t="s">
        <v>1188</v>
      </c>
      <c r="D315" s="257" t="s">
        <v>1188</v>
      </c>
      <c r="E315" s="22"/>
      <c r="F315" s="256"/>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row>
    <row r="316" spans="1:30" ht="15.75" customHeight="1">
      <c r="A316" s="231" t="s">
        <v>1023</v>
      </c>
      <c r="B316" s="256">
        <v>166</v>
      </c>
      <c r="C316" s="257" t="s">
        <v>1189</v>
      </c>
      <c r="D316" s="257" t="s">
        <v>1189</v>
      </c>
      <c r="E316" s="22"/>
      <c r="F316" s="256"/>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row>
    <row r="317" spans="1:30" ht="15.75" customHeight="1">
      <c r="A317" s="231" t="s">
        <v>1023</v>
      </c>
      <c r="B317" s="256">
        <v>167</v>
      </c>
      <c r="C317" s="257" t="s">
        <v>1190</v>
      </c>
      <c r="D317" s="257" t="s">
        <v>1190</v>
      </c>
      <c r="E317" s="22"/>
      <c r="F317" s="256"/>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row>
    <row r="318" spans="1:30" ht="15.75" customHeight="1">
      <c r="A318" s="231" t="s">
        <v>1023</v>
      </c>
      <c r="B318" s="256">
        <v>168</v>
      </c>
      <c r="C318" s="257" t="s">
        <v>1191</v>
      </c>
      <c r="D318" s="257" t="s">
        <v>1191</v>
      </c>
      <c r="E318" s="22"/>
      <c r="F318" s="256"/>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row>
    <row r="319" spans="1:30" ht="15.75" customHeight="1">
      <c r="A319" s="231" t="s">
        <v>1023</v>
      </c>
      <c r="B319" s="256">
        <v>169</v>
      </c>
      <c r="C319" s="257" t="s">
        <v>1192</v>
      </c>
      <c r="D319" s="257" t="s">
        <v>1192</v>
      </c>
      <c r="E319" s="22"/>
      <c r="F319" s="256"/>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row>
    <row r="320" spans="1:30" ht="15.75" customHeight="1">
      <c r="A320" s="231" t="s">
        <v>1023</v>
      </c>
      <c r="B320" s="256">
        <v>170</v>
      </c>
      <c r="C320" s="257" t="s">
        <v>1193</v>
      </c>
      <c r="D320" s="257" t="s">
        <v>1193</v>
      </c>
      <c r="E320" s="22"/>
      <c r="F320" s="256"/>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row>
    <row r="321" spans="1:30" ht="15.75" customHeight="1">
      <c r="A321" s="231" t="s">
        <v>1023</v>
      </c>
      <c r="B321" s="256">
        <v>171</v>
      </c>
      <c r="C321" s="257" t="s">
        <v>1194</v>
      </c>
      <c r="D321" s="257" t="s">
        <v>1194</v>
      </c>
      <c r="E321" s="22"/>
      <c r="F321" s="256"/>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row>
    <row r="322" spans="1:30" ht="15.75" customHeight="1">
      <c r="A322" s="231" t="s">
        <v>1023</v>
      </c>
      <c r="B322" s="256">
        <v>172</v>
      </c>
      <c r="C322" s="257" t="s">
        <v>1195</v>
      </c>
      <c r="D322" s="257" t="s">
        <v>1195</v>
      </c>
      <c r="E322" s="22"/>
      <c r="F322" s="256"/>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row>
    <row r="323" spans="1:30" ht="15.75" customHeight="1">
      <c r="A323" s="231" t="s">
        <v>1023</v>
      </c>
      <c r="B323" s="256">
        <v>173</v>
      </c>
      <c r="C323" s="257" t="s">
        <v>1196</v>
      </c>
      <c r="D323" s="257" t="s">
        <v>1196</v>
      </c>
      <c r="E323" s="22"/>
      <c r="F323" s="256"/>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row>
    <row r="324" spans="1:30" ht="15.75" customHeight="1">
      <c r="A324" s="231" t="s">
        <v>1023</v>
      </c>
      <c r="B324" s="256">
        <v>174</v>
      </c>
      <c r="C324" s="257" t="s">
        <v>1197</v>
      </c>
      <c r="D324" s="257" t="s">
        <v>1197</v>
      </c>
      <c r="E324" s="22"/>
      <c r="F324" s="256"/>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row>
    <row r="325" spans="1:30" ht="15.75" customHeight="1">
      <c r="A325" s="231" t="s">
        <v>1023</v>
      </c>
      <c r="B325" s="256">
        <v>175</v>
      </c>
      <c r="C325" s="257" t="s">
        <v>1198</v>
      </c>
      <c r="D325" s="257" t="s">
        <v>1198</v>
      </c>
      <c r="E325" s="22"/>
      <c r="F325" s="256"/>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row>
    <row r="326" spans="1:30" ht="15.75" customHeight="1">
      <c r="A326" s="231" t="s">
        <v>1023</v>
      </c>
      <c r="B326" s="256">
        <v>176</v>
      </c>
      <c r="C326" s="257" t="s">
        <v>1199</v>
      </c>
      <c r="D326" s="257" t="s">
        <v>1199</v>
      </c>
      <c r="E326" s="22"/>
      <c r="F326" s="256"/>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row>
    <row r="327" spans="1:30" ht="15.75" customHeight="1">
      <c r="A327" s="231" t="s">
        <v>1023</v>
      </c>
      <c r="B327" s="256">
        <v>177</v>
      </c>
      <c r="C327" s="257" t="s">
        <v>1200</v>
      </c>
      <c r="D327" s="257" t="s">
        <v>1200</v>
      </c>
      <c r="E327" s="22"/>
      <c r="F327" s="256"/>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row>
    <row r="328" spans="1:30" ht="15.75" customHeight="1">
      <c r="A328" s="231" t="s">
        <v>1023</v>
      </c>
      <c r="B328" s="256">
        <v>178</v>
      </c>
      <c r="C328" s="257" t="s">
        <v>1201</v>
      </c>
      <c r="D328" s="257" t="s">
        <v>1201</v>
      </c>
      <c r="E328" s="22"/>
      <c r="F328" s="256"/>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row>
    <row r="329" spans="1:30" ht="15.75" customHeight="1">
      <c r="A329" s="231" t="s">
        <v>1023</v>
      </c>
      <c r="B329" s="256">
        <v>179</v>
      </c>
      <c r="C329" s="257" t="s">
        <v>1202</v>
      </c>
      <c r="D329" s="257" t="s">
        <v>1202</v>
      </c>
      <c r="E329" s="22"/>
      <c r="F329" s="256"/>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row>
    <row r="330" spans="1:30" ht="15.75" customHeight="1">
      <c r="A330" s="231" t="s">
        <v>1023</v>
      </c>
      <c r="B330" s="256">
        <v>-96</v>
      </c>
      <c r="C330" s="257" t="s">
        <v>1203</v>
      </c>
      <c r="D330" s="257" t="s">
        <v>1203</v>
      </c>
      <c r="E330" s="22"/>
      <c r="F330" s="256"/>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row>
    <row r="331" spans="1:30" ht="15.75" customHeight="1"/>
    <row r="332" spans="1:30" ht="15.75" customHeight="1">
      <c r="A332" s="238" t="s">
        <v>1204</v>
      </c>
      <c r="B332" s="232">
        <v>1</v>
      </c>
      <c r="C332" s="22" t="s">
        <v>1205</v>
      </c>
      <c r="D332" s="22" t="s">
        <v>1205</v>
      </c>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row>
    <row r="333" spans="1:30" ht="15.75" customHeight="1">
      <c r="A333" s="238" t="s">
        <v>1204</v>
      </c>
      <c r="B333" s="232">
        <f t="shared" ref="B333:B357" si="10">B332+1</f>
        <v>2</v>
      </c>
      <c r="C333" s="22" t="s">
        <v>1206</v>
      </c>
      <c r="D333" s="22" t="s">
        <v>1206</v>
      </c>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row>
    <row r="334" spans="1:30" ht="15.75" customHeight="1">
      <c r="A334" s="238" t="s">
        <v>1204</v>
      </c>
      <c r="B334" s="232">
        <f t="shared" si="10"/>
        <v>3</v>
      </c>
      <c r="C334" s="22" t="s">
        <v>1207</v>
      </c>
      <c r="D334" s="22" t="s">
        <v>1207</v>
      </c>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row>
    <row r="335" spans="1:30" ht="15.75" customHeight="1">
      <c r="A335" s="238" t="s">
        <v>1204</v>
      </c>
      <c r="B335" s="232">
        <f t="shared" si="10"/>
        <v>4</v>
      </c>
      <c r="C335" s="22" t="s">
        <v>1208</v>
      </c>
      <c r="D335" s="22" t="s">
        <v>1208</v>
      </c>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row>
    <row r="336" spans="1:30" ht="15.75" customHeight="1">
      <c r="A336" s="238" t="s">
        <v>1204</v>
      </c>
      <c r="B336" s="232">
        <f t="shared" si="10"/>
        <v>5</v>
      </c>
      <c r="C336" s="22" t="s">
        <v>1209</v>
      </c>
      <c r="D336" s="22" t="s">
        <v>1209</v>
      </c>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row>
    <row r="337" spans="1:30" ht="15.75" customHeight="1">
      <c r="A337" s="238" t="s">
        <v>1204</v>
      </c>
      <c r="B337" s="232">
        <f t="shared" si="10"/>
        <v>6</v>
      </c>
      <c r="C337" s="22" t="s">
        <v>1210</v>
      </c>
      <c r="D337" s="22" t="s">
        <v>1210</v>
      </c>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row>
    <row r="338" spans="1:30" ht="15.75" customHeight="1">
      <c r="A338" s="238" t="s">
        <v>1204</v>
      </c>
      <c r="B338" s="232">
        <f t="shared" si="10"/>
        <v>7</v>
      </c>
      <c r="C338" s="22" t="s">
        <v>1211</v>
      </c>
      <c r="D338" s="22" t="s">
        <v>1211</v>
      </c>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row>
    <row r="339" spans="1:30" ht="15.75" customHeight="1">
      <c r="A339" s="238" t="s">
        <v>1204</v>
      </c>
      <c r="B339" s="232">
        <f t="shared" si="10"/>
        <v>8</v>
      </c>
      <c r="C339" s="22" t="s">
        <v>1212</v>
      </c>
      <c r="D339" s="22" t="s">
        <v>1212</v>
      </c>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row>
    <row r="340" spans="1:30" ht="15.75" customHeight="1">
      <c r="A340" s="238" t="s">
        <v>1204</v>
      </c>
      <c r="B340" s="232">
        <f t="shared" si="10"/>
        <v>9</v>
      </c>
      <c r="C340" s="22" t="s">
        <v>1213</v>
      </c>
      <c r="D340" s="22" t="s">
        <v>1213</v>
      </c>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row>
    <row r="341" spans="1:30" ht="15.75" customHeight="1">
      <c r="A341" s="238" t="s">
        <v>1204</v>
      </c>
      <c r="B341" s="232">
        <f t="shared" si="10"/>
        <v>10</v>
      </c>
      <c r="C341" s="22" t="s">
        <v>1214</v>
      </c>
      <c r="D341" s="22" t="s">
        <v>1214</v>
      </c>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row>
    <row r="342" spans="1:30" ht="15.75" customHeight="1">
      <c r="A342" s="238" t="s">
        <v>1204</v>
      </c>
      <c r="B342" s="232">
        <f t="shared" si="10"/>
        <v>11</v>
      </c>
      <c r="C342" s="22" t="s">
        <v>1215</v>
      </c>
      <c r="D342" s="22" t="s">
        <v>1215</v>
      </c>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row>
    <row r="343" spans="1:30" ht="15.75" customHeight="1">
      <c r="A343" s="238" t="s">
        <v>1204</v>
      </c>
      <c r="B343" s="232">
        <f t="shared" si="10"/>
        <v>12</v>
      </c>
      <c r="C343" s="22" t="s">
        <v>1216</v>
      </c>
      <c r="D343" s="22" t="s">
        <v>1216</v>
      </c>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row>
    <row r="344" spans="1:30" ht="15.75" customHeight="1">
      <c r="A344" s="238" t="s">
        <v>1204</v>
      </c>
      <c r="B344" s="232">
        <f t="shared" si="10"/>
        <v>13</v>
      </c>
      <c r="C344" s="22" t="s">
        <v>1217</v>
      </c>
      <c r="D344" s="22" t="s">
        <v>1217</v>
      </c>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row>
    <row r="345" spans="1:30" ht="15.75" customHeight="1">
      <c r="A345" s="238" t="s">
        <v>1204</v>
      </c>
      <c r="B345" s="232">
        <f t="shared" si="10"/>
        <v>14</v>
      </c>
      <c r="C345" s="22" t="s">
        <v>1218</v>
      </c>
      <c r="D345" s="22" t="s">
        <v>1218</v>
      </c>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row>
    <row r="346" spans="1:30" ht="15.75" customHeight="1">
      <c r="A346" s="238" t="s">
        <v>1204</v>
      </c>
      <c r="B346" s="232">
        <f t="shared" si="10"/>
        <v>15</v>
      </c>
      <c r="C346" s="22" t="s">
        <v>1219</v>
      </c>
      <c r="D346" s="22" t="s">
        <v>1219</v>
      </c>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row>
    <row r="347" spans="1:30" ht="15.75" customHeight="1">
      <c r="A347" s="238" t="s">
        <v>1204</v>
      </c>
      <c r="B347" s="232">
        <f t="shared" si="10"/>
        <v>16</v>
      </c>
      <c r="C347" s="22" t="s">
        <v>1220</v>
      </c>
      <c r="D347" s="22" t="s">
        <v>1220</v>
      </c>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row>
    <row r="348" spans="1:30" ht="15.75" customHeight="1">
      <c r="A348" s="238" t="s">
        <v>1204</v>
      </c>
      <c r="B348" s="232">
        <f t="shared" si="10"/>
        <v>17</v>
      </c>
      <c r="C348" s="22" t="s">
        <v>1221</v>
      </c>
      <c r="D348" s="22" t="s">
        <v>1221</v>
      </c>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row>
    <row r="349" spans="1:30" ht="15.75" customHeight="1">
      <c r="A349" s="238" t="s">
        <v>1204</v>
      </c>
      <c r="B349" s="232">
        <f t="shared" si="10"/>
        <v>18</v>
      </c>
      <c r="C349" s="22" t="s">
        <v>1222</v>
      </c>
      <c r="D349" s="22" t="s">
        <v>1222</v>
      </c>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row>
    <row r="350" spans="1:30" ht="15.75" customHeight="1">
      <c r="A350" s="238" t="s">
        <v>1204</v>
      </c>
      <c r="B350" s="232">
        <f t="shared" si="10"/>
        <v>19</v>
      </c>
      <c r="C350" s="22" t="s">
        <v>1223</v>
      </c>
      <c r="D350" s="22" t="s">
        <v>1223</v>
      </c>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row>
    <row r="351" spans="1:30" ht="15.75" customHeight="1">
      <c r="A351" s="238" t="s">
        <v>1204</v>
      </c>
      <c r="B351" s="232">
        <f t="shared" si="10"/>
        <v>20</v>
      </c>
      <c r="C351" s="22" t="s">
        <v>1224</v>
      </c>
      <c r="D351" s="22" t="s">
        <v>1224</v>
      </c>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row>
    <row r="352" spans="1:30" ht="15.75" customHeight="1">
      <c r="A352" s="238" t="s">
        <v>1204</v>
      </c>
      <c r="B352" s="232">
        <f t="shared" si="10"/>
        <v>21</v>
      </c>
      <c r="C352" s="22" t="s">
        <v>1225</v>
      </c>
      <c r="D352" s="22" t="s">
        <v>1225</v>
      </c>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row>
    <row r="353" spans="1:30" ht="15.75" customHeight="1">
      <c r="A353" s="238" t="s">
        <v>1204</v>
      </c>
      <c r="B353" s="232">
        <f t="shared" si="10"/>
        <v>22</v>
      </c>
      <c r="C353" s="22" t="s">
        <v>1226</v>
      </c>
      <c r="D353" s="22" t="s">
        <v>1226</v>
      </c>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row>
    <row r="354" spans="1:30" ht="15.75" customHeight="1">
      <c r="A354" s="238" t="s">
        <v>1204</v>
      </c>
      <c r="B354" s="232">
        <f t="shared" si="10"/>
        <v>23</v>
      </c>
      <c r="C354" s="22" t="s">
        <v>1227</v>
      </c>
      <c r="D354" s="22" t="s">
        <v>1227</v>
      </c>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row>
    <row r="355" spans="1:30" ht="15.75" customHeight="1">
      <c r="A355" s="238" t="s">
        <v>1204</v>
      </c>
      <c r="B355" s="232">
        <f t="shared" si="10"/>
        <v>24</v>
      </c>
      <c r="C355" s="22" t="s">
        <v>1228</v>
      </c>
      <c r="D355" s="22" t="s">
        <v>1228</v>
      </c>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row>
    <row r="356" spans="1:30" ht="15.75" customHeight="1">
      <c r="A356" s="238" t="s">
        <v>1204</v>
      </c>
      <c r="B356" s="232">
        <f t="shared" si="10"/>
        <v>25</v>
      </c>
      <c r="C356" s="22" t="s">
        <v>1229</v>
      </c>
      <c r="D356" s="22" t="s">
        <v>1229</v>
      </c>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row>
    <row r="357" spans="1:30" ht="15.75" customHeight="1">
      <c r="A357" s="238" t="s">
        <v>1204</v>
      </c>
      <c r="B357" s="232">
        <f t="shared" si="10"/>
        <v>26</v>
      </c>
      <c r="C357" s="22" t="s">
        <v>1230</v>
      </c>
      <c r="D357" s="22" t="s">
        <v>1230</v>
      </c>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row>
    <row r="358" spans="1:30" ht="15.75" customHeight="1"/>
    <row r="359" spans="1:30" ht="15.75" customHeight="1">
      <c r="A359" s="182" t="s">
        <v>1231</v>
      </c>
      <c r="B359" s="182">
        <v>1</v>
      </c>
      <c r="C359" s="182" t="s">
        <v>1232</v>
      </c>
      <c r="D359" s="183" t="s">
        <v>1233</v>
      </c>
    </row>
    <row r="360" spans="1:30" ht="15.75" customHeight="1">
      <c r="A360" s="182" t="s">
        <v>1231</v>
      </c>
      <c r="B360" s="182">
        <v>2</v>
      </c>
      <c r="C360" s="182" t="s">
        <v>1234</v>
      </c>
      <c r="D360" s="183" t="s">
        <v>1235</v>
      </c>
    </row>
    <row r="361" spans="1:30" ht="15.75" customHeight="1">
      <c r="A361" s="182" t="s">
        <v>1231</v>
      </c>
      <c r="B361" s="182">
        <v>-96</v>
      </c>
      <c r="C361" s="182" t="s">
        <v>1236</v>
      </c>
      <c r="D361" s="95" t="s">
        <v>168</v>
      </c>
    </row>
    <row r="362" spans="1:30" ht="15.75" customHeight="1"/>
    <row r="363" spans="1:30" ht="15.75" customHeight="1">
      <c r="A363" s="182" t="s">
        <v>1237</v>
      </c>
      <c r="B363" s="182">
        <v>1</v>
      </c>
      <c r="C363" s="182" t="s">
        <v>1238</v>
      </c>
      <c r="D363" s="258" t="s">
        <v>1239</v>
      </c>
    </row>
    <row r="364" spans="1:30" ht="15.75" customHeight="1">
      <c r="A364" s="182" t="s">
        <v>1237</v>
      </c>
      <c r="B364" s="182">
        <v>2</v>
      </c>
      <c r="C364" s="182" t="s">
        <v>1240</v>
      </c>
      <c r="D364" s="183" t="s">
        <v>1241</v>
      </c>
    </row>
    <row r="365" spans="1:30" ht="15.75" customHeight="1">
      <c r="A365" s="182" t="s">
        <v>1237</v>
      </c>
      <c r="B365" s="182">
        <v>-96</v>
      </c>
      <c r="C365" s="182" t="s">
        <v>1236</v>
      </c>
      <c r="D365" s="95" t="s">
        <v>168</v>
      </c>
    </row>
    <row r="366" spans="1:30" ht="15.75" customHeight="1"/>
    <row r="367" spans="1:30" ht="15.75" customHeight="1">
      <c r="A367" s="182" t="s">
        <v>1242</v>
      </c>
      <c r="B367" s="182">
        <v>1</v>
      </c>
      <c r="C367" s="182" t="s">
        <v>1243</v>
      </c>
      <c r="D367" s="183" t="s">
        <v>1244</v>
      </c>
    </row>
    <row r="368" spans="1:30" ht="15.75" customHeight="1">
      <c r="A368" s="182" t="s">
        <v>1242</v>
      </c>
      <c r="B368" s="182">
        <v>2</v>
      </c>
      <c r="C368" s="182" t="s">
        <v>1245</v>
      </c>
      <c r="D368" s="183" t="s">
        <v>1246</v>
      </c>
    </row>
    <row r="369" spans="1:4" ht="15.75" customHeight="1">
      <c r="A369" s="182" t="s">
        <v>1242</v>
      </c>
      <c r="B369" s="182">
        <v>3</v>
      </c>
      <c r="C369" s="182" t="s">
        <v>1247</v>
      </c>
      <c r="D369" s="182" t="s">
        <v>1248</v>
      </c>
    </row>
    <row r="370" spans="1:4" ht="15.75" customHeight="1">
      <c r="A370" s="182" t="s">
        <v>1242</v>
      </c>
      <c r="B370" s="182">
        <v>-96</v>
      </c>
      <c r="C370" s="182" t="s">
        <v>1236</v>
      </c>
      <c r="D370" s="95" t="s">
        <v>168</v>
      </c>
    </row>
    <row r="371" spans="1:4" ht="15.75" customHeight="1"/>
    <row r="372" spans="1:4" ht="15.75" customHeight="1">
      <c r="A372" s="182" t="s">
        <v>1249</v>
      </c>
      <c r="B372" s="182">
        <v>1</v>
      </c>
      <c r="C372" s="182" t="s">
        <v>1250</v>
      </c>
      <c r="D372" s="182" t="s">
        <v>1251</v>
      </c>
    </row>
    <row r="373" spans="1:4" ht="15.75" customHeight="1">
      <c r="A373" s="182" t="s">
        <v>1249</v>
      </c>
      <c r="B373" s="182">
        <v>0</v>
      </c>
      <c r="C373" s="182" t="s">
        <v>1252</v>
      </c>
      <c r="D373" s="182" t="s">
        <v>1253</v>
      </c>
    </row>
    <row r="374" spans="1:4" ht="15.75" customHeight="1"/>
    <row r="375" spans="1:4" ht="15.75" customHeight="1">
      <c r="A375" s="182" t="s">
        <v>1254</v>
      </c>
      <c r="B375" s="182">
        <v>1</v>
      </c>
      <c r="C375" s="182" t="s">
        <v>1255</v>
      </c>
      <c r="D375" s="182" t="s">
        <v>1256</v>
      </c>
    </row>
    <row r="376" spans="1:4" ht="15.75" customHeight="1">
      <c r="A376" s="182" t="s">
        <v>1254</v>
      </c>
      <c r="B376" s="182">
        <v>2</v>
      </c>
      <c r="C376" s="182" t="s">
        <v>911</v>
      </c>
      <c r="D376" s="182" t="s">
        <v>912</v>
      </c>
    </row>
    <row r="377" spans="1:4" ht="15.75" customHeight="1">
      <c r="A377" s="182" t="s">
        <v>1254</v>
      </c>
      <c r="B377" s="182">
        <v>3</v>
      </c>
      <c r="C377" s="182" t="s">
        <v>913</v>
      </c>
      <c r="D377" s="182" t="s">
        <v>1257</v>
      </c>
    </row>
    <row r="378" spans="1:4" ht="15.75" customHeight="1"/>
    <row r="379" spans="1:4" ht="15.75" customHeight="1">
      <c r="A379" s="182" t="s">
        <v>1258</v>
      </c>
      <c r="B379" s="182">
        <v>1</v>
      </c>
      <c r="C379" s="248" t="s">
        <v>1259</v>
      </c>
      <c r="D379" s="259" t="s">
        <v>1260</v>
      </c>
    </row>
    <row r="380" spans="1:4" ht="15.75" customHeight="1">
      <c r="A380" s="182" t="s">
        <v>1258</v>
      </c>
      <c r="B380" s="182">
        <v>2</v>
      </c>
      <c r="C380" s="249" t="s">
        <v>1261</v>
      </c>
      <c r="D380" s="260" t="s">
        <v>1262</v>
      </c>
    </row>
    <row r="381" spans="1:4" ht="15.75" customHeight="1">
      <c r="A381" s="182" t="s">
        <v>1258</v>
      </c>
      <c r="B381" s="182">
        <v>3</v>
      </c>
      <c r="C381" s="249" t="s">
        <v>1263</v>
      </c>
      <c r="D381" s="260" t="s">
        <v>1264</v>
      </c>
    </row>
    <row r="382" spans="1:4" ht="15.75" customHeight="1">
      <c r="A382" s="182" t="s">
        <v>1258</v>
      </c>
      <c r="B382" s="182">
        <v>4</v>
      </c>
      <c r="C382" s="249" t="s">
        <v>1265</v>
      </c>
      <c r="D382" s="260" t="s">
        <v>1266</v>
      </c>
    </row>
    <row r="383" spans="1:4" ht="15.75" customHeight="1">
      <c r="A383" s="182" t="s">
        <v>1258</v>
      </c>
      <c r="B383" s="182">
        <v>5</v>
      </c>
      <c r="C383" s="249" t="s">
        <v>1267</v>
      </c>
      <c r="D383" s="260" t="s">
        <v>1268</v>
      </c>
    </row>
    <row r="384" spans="1:4" ht="15.75" customHeight="1">
      <c r="A384" s="182" t="s">
        <v>1258</v>
      </c>
      <c r="B384" s="182">
        <v>6</v>
      </c>
      <c r="C384" s="249" t="s">
        <v>1269</v>
      </c>
      <c r="D384" s="260" t="s">
        <v>1270</v>
      </c>
    </row>
    <row r="385" spans="1:30" ht="15.75" customHeight="1">
      <c r="A385" s="182" t="s">
        <v>1258</v>
      </c>
      <c r="B385" s="182">
        <v>7</v>
      </c>
      <c r="C385" s="249" t="s">
        <v>1271</v>
      </c>
      <c r="D385" s="261" t="s">
        <v>1272</v>
      </c>
    </row>
    <row r="386" spans="1:30" ht="15.75" customHeight="1">
      <c r="A386" s="182" t="s">
        <v>1258</v>
      </c>
      <c r="B386" s="182">
        <v>8</v>
      </c>
      <c r="C386" s="249" t="s">
        <v>1273</v>
      </c>
      <c r="D386" s="260" t="s">
        <v>1274</v>
      </c>
    </row>
    <row r="387" spans="1:30" ht="15.75" customHeight="1">
      <c r="A387" s="182" t="s">
        <v>1258</v>
      </c>
      <c r="B387" s="182">
        <v>-98</v>
      </c>
      <c r="C387" s="182" t="s">
        <v>1275</v>
      </c>
      <c r="D387" s="182" t="s">
        <v>1276</v>
      </c>
    </row>
    <row r="388" spans="1:30" ht="15.75" customHeight="1"/>
    <row r="389" spans="1:30" ht="15.75" customHeight="1">
      <c r="A389" s="237" t="s">
        <v>1277</v>
      </c>
      <c r="B389" s="238" t="s">
        <v>1277</v>
      </c>
      <c r="C389" s="238" t="s">
        <v>1278</v>
      </c>
      <c r="D389" s="238" t="s">
        <v>1278</v>
      </c>
      <c r="E389" s="238"/>
      <c r="F389" s="238"/>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row>
    <row r="390" spans="1:30" ht="15.75" customHeight="1">
      <c r="A390" s="231"/>
      <c r="B390" s="233"/>
      <c r="C390" s="233"/>
      <c r="D390" s="233"/>
      <c r="E390" s="233"/>
      <c r="F390" s="233"/>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row>
    <row r="391" spans="1:30" ht="15.75" customHeight="1">
      <c r="A391" s="231" t="s">
        <v>1279</v>
      </c>
      <c r="B391" s="233" t="s">
        <v>1279</v>
      </c>
      <c r="C391" s="233" t="s">
        <v>1280</v>
      </c>
      <c r="D391" s="233" t="s">
        <v>1280</v>
      </c>
      <c r="E391" s="233"/>
      <c r="F391" s="233"/>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row>
    <row r="392" spans="1:30" ht="15.75" customHeight="1">
      <c r="A392" s="231"/>
      <c r="B392" s="233"/>
      <c r="C392" s="233"/>
      <c r="D392" s="233"/>
      <c r="E392" s="233"/>
      <c r="F392" s="233"/>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row>
    <row r="393" spans="1:30" ht="15.75" customHeight="1">
      <c r="A393" s="231" t="s">
        <v>1281</v>
      </c>
      <c r="B393" s="233" t="s">
        <v>1281</v>
      </c>
      <c r="C393" s="233" t="s">
        <v>1282</v>
      </c>
      <c r="D393" s="233" t="s">
        <v>1282</v>
      </c>
      <c r="E393" s="233"/>
      <c r="F393" s="233"/>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row>
    <row r="394" spans="1:30" ht="15.75" customHeight="1">
      <c r="A394" s="231"/>
      <c r="B394" s="233"/>
      <c r="C394" s="233"/>
      <c r="D394" s="233"/>
      <c r="E394" s="233"/>
      <c r="F394" s="233"/>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row>
    <row r="395" spans="1:30" ht="15.75" customHeight="1">
      <c r="A395" s="231" t="s">
        <v>1283</v>
      </c>
      <c r="B395" s="233" t="s">
        <v>1283</v>
      </c>
      <c r="C395" s="233" t="s">
        <v>1284</v>
      </c>
      <c r="D395" s="233" t="s">
        <v>1284</v>
      </c>
      <c r="E395" s="233"/>
      <c r="F395" s="233"/>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row>
    <row r="396" spans="1:30" ht="15.75" customHeight="1">
      <c r="A396" s="231"/>
      <c r="B396" s="233"/>
      <c r="C396" s="233"/>
      <c r="D396" s="233"/>
      <c r="E396" s="233"/>
      <c r="F396" s="233"/>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row>
    <row r="397" spans="1:30" ht="15.75" customHeight="1">
      <c r="A397" s="231" t="s">
        <v>1285</v>
      </c>
      <c r="B397" s="233" t="s">
        <v>1285</v>
      </c>
      <c r="C397" s="233" t="s">
        <v>1286</v>
      </c>
      <c r="D397" s="233" t="s">
        <v>1286</v>
      </c>
      <c r="E397" s="233"/>
      <c r="F397" s="233"/>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row>
    <row r="398" spans="1:30" ht="15.75" customHeight="1">
      <c r="A398" s="231"/>
      <c r="B398" s="233"/>
      <c r="C398" s="233"/>
      <c r="D398" s="233"/>
      <c r="E398" s="233"/>
      <c r="F398" s="233"/>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row>
    <row r="399" spans="1:30" ht="15.75" customHeight="1">
      <c r="A399" s="231" t="s">
        <v>1287</v>
      </c>
      <c r="B399" s="233" t="s">
        <v>1287</v>
      </c>
      <c r="C399" s="233" t="s">
        <v>1288</v>
      </c>
      <c r="D399" s="233" t="s">
        <v>1288</v>
      </c>
      <c r="E399" s="233"/>
      <c r="F399" s="233"/>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row>
    <row r="400" spans="1:30" ht="15.75" customHeight="1"/>
    <row r="401" spans="1:4" ht="15.75" customHeight="1">
      <c r="A401" s="182" t="s">
        <v>1289</v>
      </c>
      <c r="B401" s="182">
        <v>1</v>
      </c>
      <c r="C401" s="182" t="s">
        <v>1290</v>
      </c>
      <c r="D401" s="182" t="s">
        <v>1291</v>
      </c>
    </row>
    <row r="402" spans="1:4" ht="15.75" customHeight="1">
      <c r="A402" s="182" t="s">
        <v>1289</v>
      </c>
      <c r="B402" s="182">
        <v>2</v>
      </c>
      <c r="C402" s="182" t="s">
        <v>1292</v>
      </c>
      <c r="D402" s="182" t="s">
        <v>1293</v>
      </c>
    </row>
    <row r="403" spans="1:4" ht="15.75" customHeight="1">
      <c r="A403" s="182" t="s">
        <v>1289</v>
      </c>
      <c r="B403" s="182">
        <v>3</v>
      </c>
      <c r="C403" s="182" t="s">
        <v>1294</v>
      </c>
      <c r="D403" s="182" t="s">
        <v>1295</v>
      </c>
    </row>
    <row r="404" spans="1:4" ht="15.75" customHeight="1"/>
    <row r="405" spans="1:4" ht="15.75" customHeight="1">
      <c r="A405" s="182" t="s">
        <v>1296</v>
      </c>
      <c r="B405" s="182">
        <v>1</v>
      </c>
      <c r="C405" s="182" t="s">
        <v>1297</v>
      </c>
      <c r="D405" s="182" t="s">
        <v>1298</v>
      </c>
    </row>
    <row r="406" spans="1:4" ht="15.75" customHeight="1">
      <c r="A406" s="182" t="s">
        <v>1296</v>
      </c>
      <c r="B406" s="182">
        <v>2</v>
      </c>
      <c r="C406" s="182" t="s">
        <v>1299</v>
      </c>
      <c r="D406" s="182" t="s">
        <v>1300</v>
      </c>
    </row>
    <row r="407" spans="1:4" ht="15.75" customHeight="1">
      <c r="A407" s="182" t="s">
        <v>1296</v>
      </c>
      <c r="B407" s="182">
        <v>3</v>
      </c>
      <c r="C407" s="182" t="s">
        <v>1301</v>
      </c>
      <c r="D407" s="182" t="s">
        <v>1302</v>
      </c>
    </row>
    <row r="408" spans="1:4" ht="15.75" customHeight="1">
      <c r="A408" s="182" t="s">
        <v>1296</v>
      </c>
      <c r="B408" s="182">
        <v>-98</v>
      </c>
      <c r="C408" s="182" t="s">
        <v>828</v>
      </c>
      <c r="D408" s="262" t="s">
        <v>1303</v>
      </c>
    </row>
    <row r="409" spans="1:4" ht="15.75" customHeight="1"/>
    <row r="410" spans="1:4" ht="15.75" customHeight="1">
      <c r="A410" s="182" t="s">
        <v>1304</v>
      </c>
      <c r="B410" s="225">
        <v>1</v>
      </c>
      <c r="C410" s="182" t="s">
        <v>921</v>
      </c>
      <c r="D410" s="183" t="s">
        <v>1305</v>
      </c>
    </row>
    <row r="411" spans="1:4" ht="15.75" customHeight="1">
      <c r="A411" s="182" t="s">
        <v>1304</v>
      </c>
      <c r="B411" s="225">
        <f t="shared" ref="B411:B414" si="11">1+B410</f>
        <v>2</v>
      </c>
      <c r="C411" s="182" t="s">
        <v>923</v>
      </c>
      <c r="D411" s="182" t="s">
        <v>1306</v>
      </c>
    </row>
    <row r="412" spans="1:4" ht="15.75" customHeight="1">
      <c r="A412" s="182" t="s">
        <v>1304</v>
      </c>
      <c r="B412" s="225">
        <f t="shared" si="11"/>
        <v>3</v>
      </c>
      <c r="C412" s="182" t="s">
        <v>925</v>
      </c>
      <c r="D412" s="182" t="s">
        <v>1307</v>
      </c>
    </row>
    <row r="413" spans="1:4" ht="15.75" customHeight="1">
      <c r="A413" s="182" t="s">
        <v>1304</v>
      </c>
      <c r="B413" s="225">
        <f t="shared" si="11"/>
        <v>4</v>
      </c>
      <c r="C413" s="182" t="s">
        <v>927</v>
      </c>
      <c r="D413" s="182" t="s">
        <v>1308</v>
      </c>
    </row>
    <row r="414" spans="1:4" ht="15.75" customHeight="1">
      <c r="A414" s="182" t="s">
        <v>1304</v>
      </c>
      <c r="B414" s="225">
        <f t="shared" si="11"/>
        <v>5</v>
      </c>
      <c r="C414" s="182" t="s">
        <v>929</v>
      </c>
      <c r="D414" s="182" t="s">
        <v>1309</v>
      </c>
    </row>
    <row r="415" spans="1:4" ht="15.75" customHeight="1"/>
    <row r="416" spans="1:4"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conditionalFormatting sqref="A19:AD20">
    <cfRule type="expression" dxfId="77" priority="36">
      <formula>NOT($A2=$A1)</formula>
    </cfRule>
  </conditionalFormatting>
  <conditionalFormatting sqref="C38:C49 D85 D91 D98 D106:D107 D112 D123 D128 D361 D365 D370">
    <cfRule type="expression" dxfId="76" priority="2" stopIfTrue="1">
      <formula>$A38="begin repeat"</formula>
    </cfRule>
    <cfRule type="expression" dxfId="75" priority="3" stopIfTrue="1">
      <formula>$A38="enumerator"</formula>
    </cfRule>
    <cfRule type="expression" dxfId="74" priority="4" stopIfTrue="1">
      <formula>$A38="text"</formula>
    </cfRule>
    <cfRule type="expression" dxfId="73" priority="5" stopIfTrue="1">
      <formula>$A38="integer"</formula>
    </cfRule>
    <cfRule type="expression" dxfId="72" priority="6" stopIfTrue="1">
      <formula>$A38="decimal"</formula>
    </cfRule>
    <cfRule type="expression" dxfId="71" priority="7" stopIfTrue="1">
      <formula>OR(AND(LEFT($A38, 16)="select_multiple ", LEN($A38)&gt;16, NOT(ISNUMBER(SEARCH(" ", $A38, 17)))), AND(LEFT($A38, 11)="select_one ", LEN($A38)&gt;11, NOT(ISNUMBER(SEARCH(" ", $A38, 12)))))</formula>
    </cfRule>
    <cfRule type="expression" dxfId="70" priority="8" stopIfTrue="1">
      <formula>$A38="file"</formula>
    </cfRule>
    <cfRule type="expression" dxfId="69" priority="9" stopIfTrue="1">
      <formula>$A38="note"</formula>
    </cfRule>
    <cfRule type="expression" dxfId="68" priority="10" stopIfTrue="1">
      <formula>$A38="barcode"</formula>
    </cfRule>
    <cfRule type="expression" dxfId="67" priority="11" stopIfTrue="1">
      <formula>OR($A38="geopoint", $A38="geoshape", $A38="geotrace")</formula>
    </cfRule>
    <cfRule type="expression" dxfId="66" priority="12" stopIfTrue="1">
      <formula>OR($A38="date", $A38="datetime", $A38="time")</formula>
    </cfRule>
    <cfRule type="expression" dxfId="65" priority="13" stopIfTrue="1">
      <formula>$A38="image"</formula>
    </cfRule>
    <cfRule type="expression" dxfId="64" priority="14" stopIfTrue="1">
      <formula>OR($A38="audio", $A38="video")</formula>
    </cfRule>
    <cfRule type="expression" dxfId="63" priority="15" stopIfTrue="1">
      <formula>$A38="file"</formula>
    </cfRule>
    <cfRule type="expression" dxfId="62" priority="16" stopIfTrue="1">
      <formula>$A38="enumerator"</formula>
    </cfRule>
    <cfRule type="expression" dxfId="61" priority="17" stopIfTrue="1">
      <formula>OR(AND(LEFT($A38, 14)="sensor_stream ", LEN($A38)&gt;14, NOT(ISNUMBER(SEARCH(" ", $A38, 15)))), AND(LEFT($A38, 17)="sensor_statistic ", LEN($A38)&gt;17, NOT(ISNUMBER(SEARCH(" ", $A38, 18)))))</formula>
    </cfRule>
    <cfRule type="expression" dxfId="60" priority="18" stopIfTrue="1">
      <formula>$A38="comments"</formula>
    </cfRule>
    <cfRule type="expression" dxfId="59" priority="1" stopIfTrue="1">
      <formula>$A38="begin group"</formula>
    </cfRule>
    <cfRule type="expression" dxfId="58" priority="20" stopIfTrue="1">
      <formula>$A38="image"</formula>
    </cfRule>
    <cfRule type="expression" dxfId="57" priority="21" stopIfTrue="1">
      <formula>OR($A38="date", $A38="datetime", $A38="time")</formula>
    </cfRule>
    <cfRule type="expression" dxfId="56" priority="22" stopIfTrue="1">
      <formula>OR($A38="calculate", $A38="calculate_here")</formula>
    </cfRule>
    <cfRule type="expression" dxfId="55" priority="23" stopIfTrue="1">
      <formula>$A38="note"</formula>
    </cfRule>
    <cfRule type="expression" dxfId="54" priority="24" stopIfTrue="1">
      <formula>$A38="barcode"</formula>
    </cfRule>
    <cfRule type="expression" dxfId="53" priority="25" stopIfTrue="1">
      <formula>OR($A38="geopoint", $A38="geoshape", $A38="geotrace")</formula>
    </cfRule>
    <cfRule type="expression" dxfId="52" priority="26" stopIfTrue="1">
      <formula>OR($A38="audio audit", $A38="text audit", $A38="speed violations count", $A38="speed violations list", $A38="speed violations audit")</formula>
    </cfRule>
    <cfRule type="expression" dxfId="51" priority="27" stopIfTrue="1">
      <formula>OR($A38="username", $A38="phonenumber", $A38="start", $A38="end", $A38="deviceid", $A38="subscriberid", $A38="simserial", $A38="caseid")</formula>
    </cfRule>
    <cfRule type="expression" dxfId="50" priority="28" stopIfTrue="1">
      <formula>OR(AND(LEFT($A38, 16)="select_multiple ", LEN($A38)&gt;16, NOT(ISNUMBER(SEARCH(" ", $A38, 17)))), AND(LEFT($A38, 11)="select_one ", LEN($A38)&gt;11, NOT(ISNUMBER(SEARCH(" ", $A38, 12)))))</formula>
    </cfRule>
    <cfRule type="expression" dxfId="49" priority="29" stopIfTrue="1">
      <formula>$A38="decimal"</formula>
    </cfRule>
    <cfRule type="expression" dxfId="48" priority="30" stopIfTrue="1">
      <formula>$A38="integer"</formula>
    </cfRule>
    <cfRule type="expression" dxfId="47" priority="31" stopIfTrue="1">
      <formula>$A38="text"</formula>
    </cfRule>
    <cfRule type="expression" dxfId="46" priority="32" stopIfTrue="1">
      <formula>$A38="end repeat"</formula>
    </cfRule>
    <cfRule type="expression" dxfId="45" priority="33" stopIfTrue="1">
      <formula>$A38="begin repeat"</formula>
    </cfRule>
    <cfRule type="expression" dxfId="44" priority="34" stopIfTrue="1">
      <formula>$A38="end group"</formula>
    </cfRule>
    <cfRule type="expression" dxfId="43" priority="35" stopIfTrue="1">
      <formula>$A38="begin group"</formula>
    </cfRule>
    <cfRule type="expression" dxfId="42" priority="19" stopIfTrue="1">
      <formula>OR($A38="audio", $A38="video")</formula>
    </cfRule>
  </conditionalFormatting>
  <pageMargins left="0.74791666666666667" right="0.74791666666666667" top="0.98402777777777772" bottom="0.98402777777777772"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F2" sqref="F2"/>
    </sheetView>
  </sheetViews>
  <sheetFormatPr defaultColWidth="11.25" defaultRowHeight="15" customHeight="1"/>
  <cols>
    <col min="1" max="1" width="24" customWidth="1"/>
    <col min="2" max="2" width="23.4140625" customWidth="1"/>
    <col min="3" max="3" width="13.33203125" customWidth="1"/>
    <col min="4" max="4" width="27" customWidth="1"/>
    <col min="5" max="5" width="33" customWidth="1"/>
    <col min="6" max="6" width="15.6640625" customWidth="1"/>
    <col min="7" max="26" width="8.75" customWidth="1"/>
  </cols>
  <sheetData>
    <row r="1" spans="1:26" ht="18" customHeight="1">
      <c r="A1" s="222" t="s">
        <v>1310</v>
      </c>
      <c r="B1" s="222" t="s">
        <v>1311</v>
      </c>
      <c r="C1" s="223" t="s">
        <v>1312</v>
      </c>
      <c r="D1" s="222" t="s">
        <v>1313</v>
      </c>
      <c r="E1" s="222" t="s">
        <v>1314</v>
      </c>
      <c r="F1" s="263" t="s">
        <v>1315</v>
      </c>
      <c r="G1" s="6"/>
      <c r="H1" s="264"/>
      <c r="I1" s="6"/>
      <c r="J1" s="6"/>
      <c r="K1" s="6"/>
      <c r="L1" s="6"/>
      <c r="M1" s="6"/>
      <c r="N1" s="6"/>
      <c r="O1" s="6"/>
      <c r="P1" s="6"/>
      <c r="Q1" s="6"/>
      <c r="R1" s="6"/>
      <c r="S1" s="6"/>
      <c r="T1" s="6"/>
      <c r="U1" s="6"/>
      <c r="V1" s="6"/>
      <c r="W1" s="6"/>
      <c r="X1" s="6"/>
      <c r="Y1" s="6"/>
      <c r="Z1" s="6"/>
    </row>
    <row r="2" spans="1:26" ht="15.75" customHeight="1">
      <c r="A2" s="225" t="s">
        <v>1316</v>
      </c>
      <c r="B2" s="225" t="s">
        <v>1317</v>
      </c>
      <c r="C2" s="225" t="str">
        <f ca="1">TEXT(YEAR(NOW())-2000, "00") &amp; TEXT(MONTH(NOW()), "00") &amp; TEXT(DAY(NOW())+1, "00") &amp; TEXT(HOUR(NOW()), "00") &amp; TEXT(MINUTE(NOW()), "00")</f>
        <v>2507230012</v>
      </c>
      <c r="D2" s="227" t="s">
        <v>1318</v>
      </c>
      <c r="E2" s="265" t="s">
        <v>1318</v>
      </c>
      <c r="F2" s="225" t="s">
        <v>1619</v>
      </c>
    </row>
    <row r="3" spans="1:26" ht="15.75" customHeight="1"/>
    <row r="4" spans="1:26" ht="15.75" customHeight="1"/>
    <row r="5" spans="1:26" ht="15.75" customHeight="1">
      <c r="C5" s="22" t="s">
        <v>1319</v>
      </c>
    </row>
    <row r="6" spans="1:26" ht="15.75" customHeight="1">
      <c r="C6" s="22" t="s">
        <v>1320</v>
      </c>
    </row>
    <row r="7" spans="1:26" ht="15.75" customHeight="1"/>
    <row r="8" spans="1:26" ht="15.75" customHeight="1"/>
    <row r="9" spans="1:26" ht="15.75" customHeight="1"/>
    <row r="10" spans="1:26" ht="15.75" customHeight="1">
      <c r="C10" s="22" t="s">
        <v>1321</v>
      </c>
    </row>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workbookViewId="0"/>
  </sheetViews>
  <sheetFormatPr defaultColWidth="11.25" defaultRowHeight="15" customHeight="1"/>
  <cols>
    <col min="1" max="30" width="36" customWidth="1"/>
    <col min="31" max="31" width="10.58203125" customWidth="1"/>
  </cols>
  <sheetData>
    <row r="1" spans="1:31" ht="16.5" customHeight="1">
      <c r="A1" s="319" t="s">
        <v>1322</v>
      </c>
      <c r="B1" s="320"/>
      <c r="C1" s="86"/>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spans="1:31" ht="15.75" customHeight="1">
      <c r="A2" s="321"/>
      <c r="B2" s="322"/>
      <c r="C2" s="86"/>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row>
    <row r="3" spans="1:31" ht="57.75" customHeight="1">
      <c r="A3" s="323" t="s">
        <v>1323</v>
      </c>
      <c r="B3" s="322"/>
      <c r="C3" s="86"/>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row>
    <row r="4" spans="1:31" ht="15.75" customHeight="1">
      <c r="A4" s="324" t="s">
        <v>1324</v>
      </c>
      <c r="B4" s="325"/>
      <c r="C4" s="86"/>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row>
    <row r="5" spans="1:31" ht="15.75" customHeight="1">
      <c r="A5" s="11"/>
      <c r="B5" s="11"/>
      <c r="C5" s="86"/>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row>
    <row r="6" spans="1:31" ht="18" customHeight="1">
      <c r="A6" s="266" t="s">
        <v>0</v>
      </c>
      <c r="B6" s="266" t="s">
        <v>1</v>
      </c>
      <c r="C6" s="267" t="s">
        <v>1325</v>
      </c>
      <c r="D6" s="267" t="s">
        <v>1326</v>
      </c>
      <c r="E6" s="266" t="s">
        <v>1327</v>
      </c>
      <c r="F6" s="266" t="s">
        <v>1328</v>
      </c>
      <c r="G6" s="266" t="s">
        <v>7</v>
      </c>
      <c r="H6" s="268" t="s">
        <v>8</v>
      </c>
      <c r="I6" s="266" t="s">
        <v>9</v>
      </c>
      <c r="J6" s="267" t="s">
        <v>1329</v>
      </c>
      <c r="K6" s="267" t="s">
        <v>1330</v>
      </c>
      <c r="L6" s="266" t="s">
        <v>12</v>
      </c>
      <c r="M6" s="266" t="s">
        <v>13</v>
      </c>
      <c r="N6" s="266" t="s">
        <v>14</v>
      </c>
      <c r="O6" s="266" t="s">
        <v>15</v>
      </c>
      <c r="P6" s="266" t="s">
        <v>1331</v>
      </c>
      <c r="Q6" s="266" t="s">
        <v>16</v>
      </c>
      <c r="R6" s="266" t="s">
        <v>17</v>
      </c>
      <c r="S6" s="266" t="s">
        <v>18</v>
      </c>
      <c r="T6" s="266" t="s">
        <v>19</v>
      </c>
      <c r="U6" s="266" t="s">
        <v>20</v>
      </c>
      <c r="V6" s="266" t="s">
        <v>21</v>
      </c>
      <c r="W6" s="266" t="s">
        <v>1332</v>
      </c>
      <c r="X6" s="266" t="s">
        <v>1333</v>
      </c>
      <c r="Y6" s="266" t="s">
        <v>1334</v>
      </c>
      <c r="Z6" s="266" t="s">
        <v>22</v>
      </c>
      <c r="AA6" s="266" t="s">
        <v>23</v>
      </c>
      <c r="AB6" s="266" t="s">
        <v>24</v>
      </c>
      <c r="AC6" s="266" t="s">
        <v>25</v>
      </c>
      <c r="AD6" s="266" t="s">
        <v>26</v>
      </c>
      <c r="AE6" s="6"/>
    </row>
    <row r="7" spans="1:31" ht="15.75" customHeight="1">
      <c r="A7" s="269" t="s">
        <v>1335</v>
      </c>
      <c r="B7" s="269" t="s">
        <v>1336</v>
      </c>
      <c r="C7" s="269" t="s">
        <v>1337</v>
      </c>
      <c r="D7" s="269" t="s">
        <v>1338</v>
      </c>
      <c r="E7" s="269" t="s">
        <v>1339</v>
      </c>
      <c r="F7" s="269" t="s">
        <v>1340</v>
      </c>
      <c r="G7" s="270" t="s">
        <v>1341</v>
      </c>
      <c r="H7" s="269" t="s">
        <v>1342</v>
      </c>
      <c r="I7" s="269" t="s">
        <v>1343</v>
      </c>
      <c r="J7" s="269" t="s">
        <v>1344</v>
      </c>
      <c r="K7" s="269" t="s">
        <v>1345</v>
      </c>
      <c r="L7" s="269" t="s">
        <v>1346</v>
      </c>
      <c r="M7" s="269" t="s">
        <v>1347</v>
      </c>
      <c r="N7" s="269" t="s">
        <v>1348</v>
      </c>
      <c r="O7" s="269" t="s">
        <v>1349</v>
      </c>
      <c r="P7" s="269" t="s">
        <v>1350</v>
      </c>
      <c r="Q7" s="269" t="s">
        <v>1351</v>
      </c>
      <c r="R7" s="269" t="s">
        <v>1352</v>
      </c>
      <c r="S7" s="269" t="s">
        <v>1353</v>
      </c>
      <c r="T7" s="269" t="s">
        <v>1354</v>
      </c>
      <c r="U7" s="269" t="s">
        <v>1355</v>
      </c>
      <c r="V7" s="269" t="s">
        <v>1356</v>
      </c>
      <c r="W7" s="269" t="s">
        <v>1357</v>
      </c>
      <c r="X7" s="269" t="s">
        <v>1358</v>
      </c>
      <c r="Y7" s="269" t="s">
        <v>1359</v>
      </c>
      <c r="Z7" s="271" t="s">
        <v>1360</v>
      </c>
      <c r="AA7" s="269" t="s">
        <v>1361</v>
      </c>
      <c r="AB7" s="269" t="s">
        <v>1362</v>
      </c>
      <c r="AC7" s="269" t="s">
        <v>1363</v>
      </c>
      <c r="AD7" s="269" t="s">
        <v>1364</v>
      </c>
      <c r="AE7" s="272"/>
    </row>
    <row r="8" spans="1:31" ht="15.75" customHeight="1">
      <c r="A8" s="273"/>
      <c r="B8" s="273"/>
      <c r="C8" s="273"/>
      <c r="D8" s="274" t="s">
        <v>1365</v>
      </c>
      <c r="E8" s="273"/>
      <c r="F8" s="274" t="s">
        <v>1365</v>
      </c>
      <c r="G8" s="275" t="s">
        <v>1366</v>
      </c>
      <c r="H8" s="273"/>
      <c r="I8" s="275" t="s">
        <v>1367</v>
      </c>
      <c r="J8" s="275" t="s">
        <v>1367</v>
      </c>
      <c r="K8" s="273"/>
      <c r="L8" s="275" t="s">
        <v>1368</v>
      </c>
      <c r="M8" s="275" t="s">
        <v>1369</v>
      </c>
      <c r="N8" s="275" t="s">
        <v>1369</v>
      </c>
      <c r="O8" s="275" t="s">
        <v>1369</v>
      </c>
      <c r="P8" s="273"/>
      <c r="Q8" s="275" t="s">
        <v>1369</v>
      </c>
      <c r="R8" s="275" t="s">
        <v>1370</v>
      </c>
      <c r="S8" s="275" t="s">
        <v>1371</v>
      </c>
      <c r="T8" s="275" t="s">
        <v>1372</v>
      </c>
      <c r="U8" s="275" t="s">
        <v>1369</v>
      </c>
      <c r="V8" s="275" t="s">
        <v>1369</v>
      </c>
      <c r="W8" s="274" t="s">
        <v>1365</v>
      </c>
      <c r="X8" s="274" t="s">
        <v>1365</v>
      </c>
      <c r="Y8" s="274" t="s">
        <v>1365</v>
      </c>
      <c r="Z8" s="275" t="s">
        <v>1373</v>
      </c>
      <c r="AA8" s="275" t="s">
        <v>1374</v>
      </c>
      <c r="AB8" s="275" t="s">
        <v>1374</v>
      </c>
      <c r="AC8" s="276" t="s">
        <v>1375</v>
      </c>
      <c r="AD8" s="275" t="s">
        <v>1376</v>
      </c>
      <c r="AE8" s="272"/>
    </row>
    <row r="9" spans="1:31" ht="15.75" customHeight="1">
      <c r="A9" s="11"/>
      <c r="B9" s="11"/>
      <c r="C9" s="86"/>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row>
    <row r="10" spans="1:31" ht="15.75" customHeight="1">
      <c r="A10" s="326" t="s">
        <v>1377</v>
      </c>
      <c r="B10" s="327"/>
      <c r="C10" s="277"/>
      <c r="D10" s="278"/>
      <c r="E10" s="278"/>
      <c r="F10" s="278"/>
      <c r="G10" s="278"/>
      <c r="H10" s="278"/>
      <c r="I10" s="278"/>
      <c r="J10" s="278"/>
      <c r="K10" s="278"/>
      <c r="L10" s="278"/>
      <c r="M10" s="278"/>
      <c r="N10" s="278"/>
      <c r="O10" s="278"/>
      <c r="P10" s="278"/>
      <c r="Q10" s="278"/>
      <c r="R10" s="278"/>
      <c r="S10" s="278"/>
      <c r="T10" s="278"/>
      <c r="U10" s="278"/>
      <c r="V10" s="278"/>
      <c r="W10" s="278"/>
      <c r="X10" s="278"/>
      <c r="Y10" s="278"/>
      <c r="Z10" s="278"/>
      <c r="AA10" s="278"/>
      <c r="AB10" s="278"/>
      <c r="AC10" s="278"/>
      <c r="AD10" s="278"/>
      <c r="AE10" s="279"/>
    </row>
    <row r="11" spans="1:31" ht="15.75" customHeight="1">
      <c r="A11" s="11"/>
      <c r="B11" s="11"/>
      <c r="C11" s="86"/>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row>
    <row r="12" spans="1:31" ht="15.75" customHeight="1">
      <c r="A12" s="280" t="s">
        <v>1378</v>
      </c>
      <c r="B12" s="281" t="s">
        <v>1379</v>
      </c>
      <c r="C12" s="282" t="s">
        <v>1380</v>
      </c>
      <c r="D12" s="281"/>
      <c r="E12" s="281"/>
      <c r="F12" s="281"/>
      <c r="G12" s="281"/>
      <c r="H12" s="281" t="s">
        <v>1381</v>
      </c>
      <c r="I12" s="281"/>
      <c r="J12" s="281"/>
      <c r="K12" s="281"/>
      <c r="L12" s="281"/>
      <c r="M12" s="281"/>
      <c r="N12" s="281"/>
      <c r="O12" s="281"/>
      <c r="P12" s="281"/>
      <c r="Q12" s="281"/>
      <c r="R12" s="281"/>
      <c r="S12" s="281"/>
      <c r="T12" s="281"/>
      <c r="U12" s="281"/>
      <c r="V12" s="281"/>
      <c r="W12" s="281"/>
      <c r="X12" s="281"/>
      <c r="Y12" s="281"/>
      <c r="Z12" s="281"/>
      <c r="AA12" s="281"/>
      <c r="AB12" s="281"/>
      <c r="AC12" s="281"/>
      <c r="AD12" s="281"/>
      <c r="AE12" s="279"/>
    </row>
    <row r="13" spans="1:31" ht="15.75" customHeight="1">
      <c r="A13" s="280" t="s">
        <v>1378</v>
      </c>
      <c r="B13" s="281" t="s">
        <v>1379</v>
      </c>
      <c r="C13" s="282" t="s">
        <v>1382</v>
      </c>
      <c r="D13" s="281"/>
      <c r="E13" s="281"/>
      <c r="F13" s="281"/>
      <c r="G13" s="281"/>
      <c r="H13" s="282" t="s">
        <v>1383</v>
      </c>
      <c r="I13" s="281"/>
      <c r="J13" s="281"/>
      <c r="K13" s="281"/>
      <c r="L13" s="281"/>
      <c r="M13" s="281"/>
      <c r="N13" s="281"/>
      <c r="O13" s="281"/>
      <c r="P13" s="281"/>
      <c r="Q13" s="281"/>
      <c r="R13" s="281"/>
      <c r="S13" s="281"/>
      <c r="T13" s="281"/>
      <c r="U13" s="281"/>
      <c r="V13" s="281"/>
      <c r="W13" s="281"/>
      <c r="X13" s="281"/>
      <c r="Y13" s="281"/>
      <c r="Z13" s="281"/>
      <c r="AA13" s="281"/>
      <c r="AB13" s="281"/>
      <c r="AC13" s="281"/>
      <c r="AD13" s="281"/>
      <c r="AE13" s="279"/>
    </row>
    <row r="14" spans="1:31" ht="15.75" customHeight="1">
      <c r="A14" s="280" t="s">
        <v>1378</v>
      </c>
      <c r="B14" s="281" t="s">
        <v>1379</v>
      </c>
      <c r="C14" s="282" t="s">
        <v>1384</v>
      </c>
      <c r="D14" s="281"/>
      <c r="E14" s="281"/>
      <c r="F14" s="281"/>
      <c r="G14" s="281"/>
      <c r="H14" s="281" t="s">
        <v>1385</v>
      </c>
      <c r="I14" s="281"/>
      <c r="J14" s="281"/>
      <c r="K14" s="281"/>
      <c r="L14" s="281"/>
      <c r="M14" s="281"/>
      <c r="N14" s="281"/>
      <c r="O14" s="281"/>
      <c r="P14" s="281"/>
      <c r="Q14" s="281"/>
      <c r="R14" s="281"/>
      <c r="S14" s="281"/>
      <c r="T14" s="281"/>
      <c r="U14" s="281"/>
      <c r="V14" s="281"/>
      <c r="W14" s="281"/>
      <c r="X14" s="281"/>
      <c r="Y14" s="281"/>
      <c r="Z14" s="281"/>
      <c r="AA14" s="281"/>
      <c r="AB14" s="281"/>
      <c r="AC14" s="281"/>
      <c r="AD14" s="281"/>
      <c r="AE14" s="279"/>
    </row>
    <row r="15" spans="1:31" ht="15.75" customHeight="1">
      <c r="A15" s="280" t="s">
        <v>1378</v>
      </c>
      <c r="B15" s="281" t="s">
        <v>1379</v>
      </c>
      <c r="C15" s="282" t="s">
        <v>1384</v>
      </c>
      <c r="D15" s="281"/>
      <c r="E15" s="281"/>
      <c r="F15" s="281"/>
      <c r="G15" s="281"/>
      <c r="H15" s="281" t="s">
        <v>1386</v>
      </c>
      <c r="I15" s="281"/>
      <c r="J15" s="281"/>
      <c r="K15" s="281"/>
      <c r="L15" s="281"/>
      <c r="M15" s="281"/>
      <c r="N15" s="281"/>
      <c r="O15" s="281"/>
      <c r="P15" s="281"/>
      <c r="Q15" s="281"/>
      <c r="R15" s="281"/>
      <c r="S15" s="281"/>
      <c r="T15" s="281"/>
      <c r="U15" s="281"/>
      <c r="V15" s="281"/>
      <c r="W15" s="281"/>
      <c r="X15" s="281"/>
      <c r="Y15" s="281"/>
      <c r="Z15" s="281"/>
      <c r="AA15" s="281"/>
      <c r="AB15" s="281"/>
      <c r="AC15" s="281"/>
      <c r="AD15" s="281"/>
      <c r="AE15" s="279"/>
    </row>
    <row r="16" spans="1:31" ht="15.75" customHeight="1">
      <c r="A16" s="280" t="s">
        <v>144</v>
      </c>
      <c r="B16" s="281" t="s">
        <v>1379</v>
      </c>
      <c r="C16" s="282" t="s">
        <v>1387</v>
      </c>
      <c r="D16" s="280"/>
      <c r="E16" s="281"/>
      <c r="F16" s="281"/>
      <c r="G16" s="281"/>
      <c r="H16" s="281"/>
      <c r="I16" s="281"/>
      <c r="J16" s="281"/>
      <c r="K16" s="281"/>
      <c r="L16" s="281"/>
      <c r="M16" s="281"/>
      <c r="N16" s="281"/>
      <c r="O16" s="281"/>
      <c r="P16" s="281"/>
      <c r="Q16" s="281"/>
      <c r="R16" s="281"/>
      <c r="S16" s="281"/>
      <c r="T16" s="281"/>
      <c r="U16" s="281"/>
      <c r="V16" s="281"/>
      <c r="W16" s="281"/>
      <c r="X16" s="281"/>
      <c r="Y16" s="281"/>
      <c r="Z16" s="281"/>
      <c r="AA16" s="281"/>
      <c r="AB16" s="281"/>
      <c r="AC16" s="281"/>
      <c r="AD16" s="281"/>
      <c r="AE16" s="279"/>
    </row>
    <row r="17" spans="1:31" ht="15.75" customHeight="1">
      <c r="A17" s="280" t="s">
        <v>144</v>
      </c>
      <c r="B17" s="281" t="s">
        <v>1379</v>
      </c>
      <c r="C17" s="282" t="s">
        <v>1388</v>
      </c>
      <c r="D17" s="281"/>
      <c r="E17" s="281"/>
      <c r="F17" s="281"/>
      <c r="G17" s="281"/>
      <c r="H17" s="281" t="s">
        <v>1389</v>
      </c>
      <c r="I17" s="281"/>
      <c r="J17" s="281"/>
      <c r="K17" s="281"/>
      <c r="L17" s="281"/>
      <c r="M17" s="281"/>
      <c r="N17" s="281"/>
      <c r="O17" s="281"/>
      <c r="P17" s="281"/>
      <c r="Q17" s="281"/>
      <c r="R17" s="281"/>
      <c r="S17" s="281"/>
      <c r="T17" s="281"/>
      <c r="U17" s="281"/>
      <c r="V17" s="281"/>
      <c r="W17" s="281"/>
      <c r="X17" s="281"/>
      <c r="Y17" s="281"/>
      <c r="Z17" s="281"/>
      <c r="AA17" s="281"/>
      <c r="AB17" s="281"/>
      <c r="AC17" s="281"/>
      <c r="AD17" s="281"/>
      <c r="AE17" s="279"/>
    </row>
    <row r="18" spans="1:31" ht="15.75" customHeight="1">
      <c r="A18" s="280" t="s">
        <v>122</v>
      </c>
      <c r="B18" s="281" t="s">
        <v>1379</v>
      </c>
      <c r="C18" s="282" t="s">
        <v>1390</v>
      </c>
      <c r="D18" s="280"/>
      <c r="E18" s="281"/>
      <c r="F18" s="281"/>
      <c r="G18" s="281"/>
      <c r="H18" s="281"/>
      <c r="I18" s="281"/>
      <c r="J18" s="281"/>
      <c r="K18" s="281"/>
      <c r="L18" s="281"/>
      <c r="M18" s="281"/>
      <c r="N18" s="281"/>
      <c r="O18" s="281"/>
      <c r="P18" s="281"/>
      <c r="Q18" s="281"/>
      <c r="R18" s="281"/>
      <c r="S18" s="281"/>
      <c r="T18" s="281"/>
      <c r="U18" s="281"/>
      <c r="V18" s="281"/>
      <c r="W18" s="281"/>
      <c r="X18" s="281"/>
      <c r="Y18" s="281"/>
      <c r="Z18" s="281"/>
      <c r="AA18" s="281"/>
      <c r="AB18" s="281"/>
      <c r="AC18" s="281"/>
      <c r="AD18" s="281"/>
      <c r="AE18" s="279"/>
    </row>
    <row r="19" spans="1:31" ht="15.75" customHeight="1">
      <c r="A19" s="280" t="s">
        <v>323</v>
      </c>
      <c r="B19" s="281" t="s">
        <v>1379</v>
      </c>
      <c r="C19" s="282" t="s">
        <v>1391</v>
      </c>
      <c r="D19" s="280"/>
      <c r="E19" s="281"/>
      <c r="F19" s="281"/>
      <c r="G19" s="281"/>
      <c r="H19" s="281"/>
      <c r="I19" s="281"/>
      <c r="J19" s="281"/>
      <c r="K19" s="281"/>
      <c r="L19" s="281"/>
      <c r="M19" s="281"/>
      <c r="N19" s="281"/>
      <c r="O19" s="281"/>
      <c r="P19" s="281"/>
      <c r="Q19" s="281"/>
      <c r="R19" s="281"/>
      <c r="S19" s="281"/>
      <c r="T19" s="281"/>
      <c r="U19" s="281"/>
      <c r="V19" s="281"/>
      <c r="W19" s="281"/>
      <c r="X19" s="281"/>
      <c r="Y19" s="281"/>
      <c r="Z19" s="281"/>
      <c r="AA19" s="281"/>
      <c r="AB19" s="281"/>
      <c r="AC19" s="281"/>
      <c r="AD19" s="281"/>
      <c r="AE19" s="279"/>
    </row>
    <row r="20" spans="1:31" ht="15.75" customHeight="1">
      <c r="A20" s="280" t="s">
        <v>1392</v>
      </c>
      <c r="B20" s="281" t="s">
        <v>1379</v>
      </c>
      <c r="C20" s="282" t="s">
        <v>1393</v>
      </c>
      <c r="D20" s="280"/>
      <c r="E20" s="281"/>
      <c r="F20" s="281"/>
      <c r="G20" s="281"/>
      <c r="H20" s="281"/>
      <c r="I20" s="281"/>
      <c r="J20" s="281"/>
      <c r="K20" s="281"/>
      <c r="L20" s="281"/>
      <c r="M20" s="281"/>
      <c r="N20" s="281"/>
      <c r="O20" s="281"/>
      <c r="P20" s="281"/>
      <c r="Q20" s="281"/>
      <c r="R20" s="281"/>
      <c r="S20" s="281"/>
      <c r="T20" s="281"/>
      <c r="U20" s="281"/>
      <c r="V20" s="281"/>
      <c r="W20" s="281"/>
      <c r="X20" s="281"/>
      <c r="Y20" s="281"/>
      <c r="Z20" s="281"/>
      <c r="AA20" s="281"/>
      <c r="AB20" s="281"/>
      <c r="AC20" s="281"/>
      <c r="AD20" s="281"/>
      <c r="AE20" s="279"/>
    </row>
    <row r="21" spans="1:31" ht="15.75" customHeight="1">
      <c r="A21" s="280" t="s">
        <v>1392</v>
      </c>
      <c r="B21" s="281" t="s">
        <v>1379</v>
      </c>
      <c r="C21" s="282" t="s">
        <v>1394</v>
      </c>
      <c r="D21" s="281"/>
      <c r="E21" s="281"/>
      <c r="F21" s="281"/>
      <c r="G21" s="281"/>
      <c r="H21" s="281" t="s">
        <v>1395</v>
      </c>
      <c r="I21" s="281"/>
      <c r="J21" s="281"/>
      <c r="K21" s="281"/>
      <c r="L21" s="281"/>
      <c r="M21" s="281"/>
      <c r="N21" s="281"/>
      <c r="O21" s="281"/>
      <c r="P21" s="281"/>
      <c r="Q21" s="281"/>
      <c r="R21" s="281"/>
      <c r="S21" s="281"/>
      <c r="T21" s="281"/>
      <c r="U21" s="281"/>
      <c r="V21" s="281"/>
      <c r="W21" s="281"/>
      <c r="X21" s="281"/>
      <c r="Y21" s="281"/>
      <c r="Z21" s="281"/>
      <c r="AA21" s="281"/>
      <c r="AB21" s="281"/>
      <c r="AC21" s="281"/>
      <c r="AD21" s="281"/>
      <c r="AE21" s="279"/>
    </row>
    <row r="22" spans="1:31" ht="15.75" customHeight="1">
      <c r="A22" s="280" t="s">
        <v>1392</v>
      </c>
      <c r="B22" s="281" t="s">
        <v>1379</v>
      </c>
      <c r="C22" s="282" t="s">
        <v>1396</v>
      </c>
      <c r="D22" s="281"/>
      <c r="E22" s="281"/>
      <c r="F22" s="281"/>
      <c r="G22" s="281"/>
      <c r="H22" s="281" t="s">
        <v>1397</v>
      </c>
      <c r="I22" s="281"/>
      <c r="J22" s="281"/>
      <c r="K22" s="281"/>
      <c r="L22" s="281"/>
      <c r="M22" s="281"/>
      <c r="N22" s="281"/>
      <c r="O22" s="281"/>
      <c r="P22" s="281"/>
      <c r="Q22" s="281"/>
      <c r="R22" s="281"/>
      <c r="S22" s="281"/>
      <c r="T22" s="281"/>
      <c r="U22" s="281"/>
      <c r="V22" s="281"/>
      <c r="W22" s="281"/>
      <c r="X22" s="281"/>
      <c r="Y22" s="281"/>
      <c r="Z22" s="281"/>
      <c r="AA22" s="281"/>
      <c r="AB22" s="281"/>
      <c r="AC22" s="281"/>
      <c r="AD22" s="281"/>
      <c r="AE22" s="279"/>
    </row>
    <row r="23" spans="1:31" ht="15.75" customHeight="1">
      <c r="A23" s="280" t="s">
        <v>1392</v>
      </c>
      <c r="B23" s="281" t="s">
        <v>1379</v>
      </c>
      <c r="C23" s="282" t="s">
        <v>1398</v>
      </c>
      <c r="D23" s="281"/>
      <c r="E23" s="281"/>
      <c r="F23" s="281"/>
      <c r="G23" s="281"/>
      <c r="H23" s="281" t="s">
        <v>1399</v>
      </c>
      <c r="I23" s="281"/>
      <c r="J23" s="281"/>
      <c r="K23" s="281"/>
      <c r="L23" s="281"/>
      <c r="M23" s="281"/>
      <c r="N23" s="281"/>
      <c r="O23" s="281"/>
      <c r="P23" s="281"/>
      <c r="Q23" s="281"/>
      <c r="R23" s="281"/>
      <c r="S23" s="281"/>
      <c r="T23" s="281"/>
      <c r="U23" s="281"/>
      <c r="V23" s="281"/>
      <c r="W23" s="281"/>
      <c r="X23" s="281"/>
      <c r="Y23" s="281"/>
      <c r="Z23" s="281"/>
      <c r="AA23" s="281"/>
      <c r="AB23" s="281"/>
      <c r="AC23" s="281"/>
      <c r="AD23" s="281"/>
      <c r="AE23" s="279"/>
    </row>
    <row r="24" spans="1:31" ht="15.75" customHeight="1">
      <c r="A24" s="280" t="s">
        <v>1392</v>
      </c>
      <c r="B24" s="281" t="s">
        <v>1379</v>
      </c>
      <c r="C24" s="282" t="s">
        <v>1400</v>
      </c>
      <c r="D24" s="281"/>
      <c r="E24" s="281"/>
      <c r="F24" s="281"/>
      <c r="G24" s="281"/>
      <c r="H24" s="281" t="s">
        <v>1401</v>
      </c>
      <c r="I24" s="281"/>
      <c r="J24" s="281"/>
      <c r="K24" s="281"/>
      <c r="L24" s="281"/>
      <c r="M24" s="281"/>
      <c r="N24" s="281"/>
      <c r="O24" s="281"/>
      <c r="P24" s="281"/>
      <c r="Q24" s="281"/>
      <c r="R24" s="281"/>
      <c r="S24" s="281"/>
      <c r="T24" s="281"/>
      <c r="U24" s="281"/>
      <c r="V24" s="281"/>
      <c r="W24" s="281"/>
      <c r="X24" s="281"/>
      <c r="Y24" s="281"/>
      <c r="Z24" s="281"/>
      <c r="AA24" s="281"/>
      <c r="AB24" s="281"/>
      <c r="AC24" s="281"/>
      <c r="AD24" s="281"/>
      <c r="AE24" s="279"/>
    </row>
    <row r="25" spans="1:31" ht="15.75" customHeight="1">
      <c r="A25" s="280" t="s">
        <v>1392</v>
      </c>
      <c r="B25" s="281" t="s">
        <v>1379</v>
      </c>
      <c r="C25" s="282" t="s">
        <v>1402</v>
      </c>
      <c r="D25" s="281"/>
      <c r="E25" s="281"/>
      <c r="F25" s="281"/>
      <c r="G25" s="281"/>
      <c r="H25" s="281" t="s">
        <v>1403</v>
      </c>
      <c r="I25" s="281"/>
      <c r="J25" s="281"/>
      <c r="K25" s="281"/>
      <c r="L25" s="281"/>
      <c r="M25" s="281"/>
      <c r="N25" s="281"/>
      <c r="O25" s="281"/>
      <c r="P25" s="281"/>
      <c r="Q25" s="281"/>
      <c r="R25" s="281"/>
      <c r="S25" s="281"/>
      <c r="T25" s="281"/>
      <c r="U25" s="281"/>
      <c r="V25" s="281"/>
      <c r="W25" s="281"/>
      <c r="X25" s="281"/>
      <c r="Y25" s="281"/>
      <c r="Z25" s="281"/>
      <c r="AA25" s="281"/>
      <c r="AB25" s="281"/>
      <c r="AC25" s="281"/>
      <c r="AD25" s="281"/>
      <c r="AE25" s="279"/>
    </row>
    <row r="26" spans="1:31" ht="15.75" customHeight="1">
      <c r="A26" s="280" t="s">
        <v>1392</v>
      </c>
      <c r="B26" s="281" t="s">
        <v>1379</v>
      </c>
      <c r="C26" s="282" t="s">
        <v>1404</v>
      </c>
      <c r="D26" s="281"/>
      <c r="E26" s="281"/>
      <c r="F26" s="281"/>
      <c r="G26" s="281"/>
      <c r="H26" s="281" t="s">
        <v>1405</v>
      </c>
      <c r="I26" s="281"/>
      <c r="J26" s="281"/>
      <c r="K26" s="281"/>
      <c r="L26" s="281"/>
      <c r="M26" s="281"/>
      <c r="N26" s="281"/>
      <c r="O26" s="281"/>
      <c r="P26" s="281"/>
      <c r="Q26" s="281"/>
      <c r="R26" s="281"/>
      <c r="S26" s="281"/>
      <c r="T26" s="281"/>
      <c r="U26" s="281"/>
      <c r="V26" s="281"/>
      <c r="W26" s="281"/>
      <c r="X26" s="281"/>
      <c r="Y26" s="281"/>
      <c r="Z26" s="281"/>
      <c r="AA26" s="281"/>
      <c r="AB26" s="281"/>
      <c r="AC26" s="281"/>
      <c r="AD26" s="281"/>
      <c r="AE26" s="279"/>
    </row>
    <row r="27" spans="1:31" ht="15.75" customHeight="1">
      <c r="A27" s="280" t="s">
        <v>1392</v>
      </c>
      <c r="B27" s="281" t="s">
        <v>1379</v>
      </c>
      <c r="C27" s="282" t="s">
        <v>1406</v>
      </c>
      <c r="D27" s="281"/>
      <c r="E27" s="281"/>
      <c r="F27" s="281"/>
      <c r="G27" s="281"/>
      <c r="H27" s="281" t="s">
        <v>1407</v>
      </c>
      <c r="I27" s="281"/>
      <c r="J27" s="281"/>
      <c r="K27" s="281"/>
      <c r="L27" s="281"/>
      <c r="M27" s="281"/>
      <c r="N27" s="281"/>
      <c r="O27" s="281"/>
      <c r="P27" s="281"/>
      <c r="Q27" s="281"/>
      <c r="R27" s="281"/>
      <c r="S27" s="281"/>
      <c r="T27" s="281"/>
      <c r="U27" s="281"/>
      <c r="V27" s="281"/>
      <c r="W27" s="281"/>
      <c r="X27" s="281"/>
      <c r="Y27" s="281"/>
      <c r="Z27" s="281"/>
      <c r="AA27" s="281"/>
      <c r="AB27" s="281"/>
      <c r="AC27" s="281"/>
      <c r="AD27" s="281"/>
      <c r="AE27" s="279"/>
    </row>
    <row r="28" spans="1:31" ht="15.75" customHeight="1">
      <c r="A28" s="280" t="s">
        <v>1392</v>
      </c>
      <c r="B28" s="281" t="s">
        <v>1379</v>
      </c>
      <c r="C28" s="282" t="s">
        <v>1408</v>
      </c>
      <c r="D28" s="281"/>
      <c r="E28" s="281"/>
      <c r="F28" s="281"/>
      <c r="G28" s="281"/>
      <c r="H28" s="281" t="s">
        <v>1409</v>
      </c>
      <c r="I28" s="281"/>
      <c r="J28" s="281"/>
      <c r="K28" s="281"/>
      <c r="L28" s="281"/>
      <c r="M28" s="281"/>
      <c r="N28" s="281"/>
      <c r="O28" s="281"/>
      <c r="P28" s="281"/>
      <c r="Q28" s="281"/>
      <c r="R28" s="281"/>
      <c r="S28" s="281"/>
      <c r="T28" s="281"/>
      <c r="U28" s="281"/>
      <c r="V28" s="281"/>
      <c r="W28" s="281"/>
      <c r="X28" s="281"/>
      <c r="Y28" s="281"/>
      <c r="Z28" s="281"/>
      <c r="AA28" s="281"/>
      <c r="AB28" s="281"/>
      <c r="AC28" s="281"/>
      <c r="AD28" s="281"/>
      <c r="AE28" s="279"/>
    </row>
    <row r="29" spans="1:31" ht="15.75" customHeight="1">
      <c r="A29" s="280" t="s">
        <v>1392</v>
      </c>
      <c r="B29" s="281" t="s">
        <v>1379</v>
      </c>
      <c r="C29" s="282" t="s">
        <v>1410</v>
      </c>
      <c r="D29" s="281"/>
      <c r="E29" s="281"/>
      <c r="F29" s="281"/>
      <c r="G29" s="281"/>
      <c r="H29" s="281" t="s">
        <v>1411</v>
      </c>
      <c r="I29" s="281"/>
      <c r="J29" s="281"/>
      <c r="K29" s="281"/>
      <c r="L29" s="281"/>
      <c r="M29" s="281"/>
      <c r="N29" s="281"/>
      <c r="O29" s="281"/>
      <c r="P29" s="281"/>
      <c r="Q29" s="281"/>
      <c r="R29" s="281"/>
      <c r="S29" s="281"/>
      <c r="T29" s="281"/>
      <c r="U29" s="281"/>
      <c r="V29" s="281"/>
      <c r="W29" s="281"/>
      <c r="X29" s="281"/>
      <c r="Y29" s="281"/>
      <c r="Z29" s="281"/>
      <c r="AA29" s="281"/>
      <c r="AB29" s="281"/>
      <c r="AC29" s="281"/>
      <c r="AD29" s="281"/>
      <c r="AE29" s="279"/>
    </row>
    <row r="30" spans="1:31" ht="15.75" customHeight="1">
      <c r="A30" s="280" t="s">
        <v>1392</v>
      </c>
      <c r="B30" s="281" t="s">
        <v>1379</v>
      </c>
      <c r="C30" s="282" t="s">
        <v>1412</v>
      </c>
      <c r="D30" s="281"/>
      <c r="E30" s="281"/>
      <c r="F30" s="281"/>
      <c r="G30" s="281"/>
      <c r="H30" s="281" t="s">
        <v>1413</v>
      </c>
      <c r="I30" s="281"/>
      <c r="J30" s="281"/>
      <c r="K30" s="281"/>
      <c r="L30" s="281"/>
      <c r="M30" s="281"/>
      <c r="N30" s="281"/>
      <c r="O30" s="281"/>
      <c r="P30" s="281"/>
      <c r="Q30" s="281"/>
      <c r="R30" s="281"/>
      <c r="S30" s="281"/>
      <c r="T30" s="281"/>
      <c r="U30" s="281"/>
      <c r="V30" s="281"/>
      <c r="W30" s="281"/>
      <c r="X30" s="281"/>
      <c r="Y30" s="281"/>
      <c r="Z30" s="281"/>
      <c r="AA30" s="281"/>
      <c r="AB30" s="281"/>
      <c r="AC30" s="281"/>
      <c r="AD30" s="281"/>
      <c r="AE30" s="279"/>
    </row>
    <row r="31" spans="1:31" ht="15.75" customHeight="1">
      <c r="A31" s="280" t="s">
        <v>1392</v>
      </c>
      <c r="B31" s="281" t="s">
        <v>1379</v>
      </c>
      <c r="C31" s="282" t="s">
        <v>1414</v>
      </c>
      <c r="D31" s="281"/>
      <c r="E31" s="281"/>
      <c r="F31" s="281"/>
      <c r="G31" s="281"/>
      <c r="H31" s="281" t="s">
        <v>1415</v>
      </c>
      <c r="I31" s="281"/>
      <c r="J31" s="281"/>
      <c r="K31" s="281"/>
      <c r="L31" s="281"/>
      <c r="M31" s="281"/>
      <c r="N31" s="281"/>
      <c r="O31" s="281"/>
      <c r="P31" s="281"/>
      <c r="Q31" s="281"/>
      <c r="R31" s="281"/>
      <c r="S31" s="281"/>
      <c r="T31" s="281"/>
      <c r="U31" s="281"/>
      <c r="V31" s="281"/>
      <c r="W31" s="281"/>
      <c r="X31" s="281"/>
      <c r="Y31" s="281"/>
      <c r="Z31" s="281"/>
      <c r="AA31" s="281"/>
      <c r="AB31" s="281"/>
      <c r="AC31" s="281"/>
      <c r="AD31" s="281"/>
      <c r="AE31" s="279"/>
    </row>
    <row r="32" spans="1:31" ht="15.75" customHeight="1">
      <c r="A32" s="280" t="s">
        <v>1392</v>
      </c>
      <c r="B32" s="281" t="s">
        <v>1379</v>
      </c>
      <c r="C32" s="283" t="s">
        <v>1416</v>
      </c>
      <c r="D32" s="281"/>
      <c r="E32" s="281"/>
      <c r="F32" s="281"/>
      <c r="G32" s="281"/>
      <c r="H32" s="281" t="s">
        <v>1417</v>
      </c>
      <c r="I32" s="281"/>
      <c r="J32" s="281"/>
      <c r="K32" s="281"/>
      <c r="L32" s="281"/>
      <c r="M32" s="281"/>
      <c r="N32" s="281"/>
      <c r="O32" s="281"/>
      <c r="P32" s="281"/>
      <c r="Q32" s="281"/>
      <c r="R32" s="281"/>
      <c r="S32" s="281"/>
      <c r="T32" s="281"/>
      <c r="U32" s="281"/>
      <c r="V32" s="281"/>
      <c r="W32" s="281"/>
      <c r="X32" s="281"/>
      <c r="Y32" s="281"/>
      <c r="Z32" s="281"/>
      <c r="AA32" s="281"/>
      <c r="AB32" s="281"/>
      <c r="AC32" s="281"/>
      <c r="AD32" s="281"/>
      <c r="AE32" s="279"/>
    </row>
    <row r="33" spans="1:31" ht="15.75" customHeight="1">
      <c r="A33" s="280" t="s">
        <v>1392</v>
      </c>
      <c r="B33" s="281" t="s">
        <v>1379</v>
      </c>
      <c r="C33" s="282" t="s">
        <v>1418</v>
      </c>
      <c r="D33" s="281"/>
      <c r="E33" s="281"/>
      <c r="F33" s="281"/>
      <c r="G33" s="281"/>
      <c r="H33" s="281" t="s">
        <v>1419</v>
      </c>
      <c r="I33" s="281"/>
      <c r="J33" s="281"/>
      <c r="K33" s="281"/>
      <c r="L33" s="281"/>
      <c r="M33" s="281"/>
      <c r="N33" s="281"/>
      <c r="O33" s="281"/>
      <c r="P33" s="281"/>
      <c r="Q33" s="281"/>
      <c r="R33" s="281"/>
      <c r="S33" s="281"/>
      <c r="T33" s="281"/>
      <c r="U33" s="281"/>
      <c r="V33" s="281"/>
      <c r="W33" s="281"/>
      <c r="X33" s="281"/>
      <c r="Y33" s="281"/>
      <c r="Z33" s="281"/>
      <c r="AA33" s="281"/>
      <c r="AB33" s="281"/>
      <c r="AC33" s="281"/>
      <c r="AD33" s="281"/>
      <c r="AE33" s="279"/>
    </row>
    <row r="34" spans="1:31" ht="15.75" customHeight="1">
      <c r="A34" s="280" t="s">
        <v>1392</v>
      </c>
      <c r="B34" s="281" t="s">
        <v>1379</v>
      </c>
      <c r="C34" s="282" t="s">
        <v>1420</v>
      </c>
      <c r="D34" s="281"/>
      <c r="E34" s="281"/>
      <c r="F34" s="281"/>
      <c r="G34" s="281"/>
      <c r="H34" s="281" t="s">
        <v>1421</v>
      </c>
      <c r="I34" s="281"/>
      <c r="J34" s="281"/>
      <c r="K34" s="281"/>
      <c r="L34" s="281"/>
      <c r="M34" s="281"/>
      <c r="N34" s="281"/>
      <c r="O34" s="281"/>
      <c r="P34" s="281"/>
      <c r="Q34" s="281"/>
      <c r="R34" s="281"/>
      <c r="S34" s="281"/>
      <c r="T34" s="281"/>
      <c r="U34" s="281"/>
      <c r="V34" s="281"/>
      <c r="W34" s="281"/>
      <c r="X34" s="281"/>
      <c r="Y34" s="281"/>
      <c r="Z34" s="281"/>
      <c r="AA34" s="281"/>
      <c r="AB34" s="281"/>
      <c r="AC34" s="281"/>
      <c r="AD34" s="281"/>
      <c r="AE34" s="279"/>
    </row>
    <row r="35" spans="1:31" ht="15.75" customHeight="1">
      <c r="A35" s="280" t="s">
        <v>1422</v>
      </c>
      <c r="B35" s="281" t="s">
        <v>1379</v>
      </c>
      <c r="C35" s="282" t="s">
        <v>1423</v>
      </c>
      <c r="D35" s="280"/>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79"/>
    </row>
    <row r="36" spans="1:31" ht="15.75" customHeight="1">
      <c r="A36" s="280" t="s">
        <v>1422</v>
      </c>
      <c r="B36" s="281" t="s">
        <v>1379</v>
      </c>
      <c r="C36" s="282" t="s">
        <v>1424</v>
      </c>
      <c r="D36" s="281"/>
      <c r="E36" s="281"/>
      <c r="F36" s="281"/>
      <c r="G36" s="281"/>
      <c r="H36" s="281" t="s">
        <v>1403</v>
      </c>
      <c r="I36" s="281"/>
      <c r="J36" s="281"/>
      <c r="K36" s="281"/>
      <c r="L36" s="281"/>
      <c r="M36" s="281"/>
      <c r="N36" s="281"/>
      <c r="O36" s="281"/>
      <c r="P36" s="281"/>
      <c r="Q36" s="281"/>
      <c r="R36" s="281"/>
      <c r="S36" s="281"/>
      <c r="T36" s="281"/>
      <c r="U36" s="281"/>
      <c r="V36" s="281"/>
      <c r="W36" s="281"/>
      <c r="X36" s="281"/>
      <c r="Y36" s="281"/>
      <c r="Z36" s="281"/>
      <c r="AA36" s="281"/>
      <c r="AB36" s="281"/>
      <c r="AC36" s="281"/>
      <c r="AD36" s="281"/>
      <c r="AE36" s="279"/>
    </row>
    <row r="37" spans="1:31" ht="15.75" customHeight="1">
      <c r="A37" s="280" t="s">
        <v>1422</v>
      </c>
      <c r="B37" s="281" t="s">
        <v>1379</v>
      </c>
      <c r="C37" s="282" t="s">
        <v>1425</v>
      </c>
      <c r="D37" s="281"/>
      <c r="E37" s="281"/>
      <c r="F37" s="281"/>
      <c r="G37" s="281"/>
      <c r="H37" s="281" t="s">
        <v>1405</v>
      </c>
      <c r="I37" s="281"/>
      <c r="J37" s="281"/>
      <c r="K37" s="281"/>
      <c r="L37" s="281"/>
      <c r="M37" s="281"/>
      <c r="N37" s="281"/>
      <c r="O37" s="281"/>
      <c r="P37" s="281"/>
      <c r="Q37" s="281"/>
      <c r="R37" s="281"/>
      <c r="S37" s="281"/>
      <c r="T37" s="281"/>
      <c r="U37" s="281"/>
      <c r="V37" s="281"/>
      <c r="W37" s="281"/>
      <c r="X37" s="281"/>
      <c r="Y37" s="281"/>
      <c r="Z37" s="281"/>
      <c r="AA37" s="281"/>
      <c r="AB37" s="281"/>
      <c r="AC37" s="281"/>
      <c r="AD37" s="281"/>
      <c r="AE37" s="279"/>
    </row>
    <row r="38" spans="1:31" ht="15.75" customHeight="1">
      <c r="A38" s="280" t="s">
        <v>1422</v>
      </c>
      <c r="B38" s="281" t="s">
        <v>1379</v>
      </c>
      <c r="C38" s="282" t="s">
        <v>1426</v>
      </c>
      <c r="D38" s="281"/>
      <c r="E38" s="281"/>
      <c r="F38" s="281"/>
      <c r="G38" s="281"/>
      <c r="H38" s="281" t="s">
        <v>1407</v>
      </c>
      <c r="I38" s="281"/>
      <c r="J38" s="281"/>
      <c r="K38" s="281"/>
      <c r="L38" s="281"/>
      <c r="M38" s="281"/>
      <c r="N38" s="281"/>
      <c r="O38" s="281"/>
      <c r="P38" s="281"/>
      <c r="Q38" s="281"/>
      <c r="R38" s="281"/>
      <c r="S38" s="281"/>
      <c r="T38" s="281"/>
      <c r="U38" s="281"/>
      <c r="V38" s="281"/>
      <c r="W38" s="281"/>
      <c r="X38" s="281"/>
      <c r="Y38" s="281"/>
      <c r="Z38" s="281"/>
      <c r="AA38" s="281"/>
      <c r="AB38" s="281"/>
      <c r="AC38" s="281"/>
      <c r="AD38" s="281"/>
      <c r="AE38" s="279"/>
    </row>
    <row r="39" spans="1:31" ht="15.75" customHeight="1">
      <c r="A39" s="280" t="s">
        <v>1422</v>
      </c>
      <c r="B39" s="281" t="s">
        <v>1379</v>
      </c>
      <c r="C39" s="282" t="s">
        <v>1427</v>
      </c>
      <c r="D39" s="281"/>
      <c r="E39" s="281"/>
      <c r="F39" s="281"/>
      <c r="G39" s="281"/>
      <c r="H39" s="281" t="s">
        <v>1413</v>
      </c>
      <c r="I39" s="281"/>
      <c r="J39" s="281"/>
      <c r="K39" s="281"/>
      <c r="L39" s="281"/>
      <c r="M39" s="281"/>
      <c r="N39" s="281"/>
      <c r="O39" s="281"/>
      <c r="P39" s="281"/>
      <c r="Q39" s="281"/>
      <c r="R39" s="281"/>
      <c r="S39" s="281"/>
      <c r="T39" s="281"/>
      <c r="U39" s="281"/>
      <c r="V39" s="281"/>
      <c r="W39" s="281"/>
      <c r="X39" s="281"/>
      <c r="Y39" s="281"/>
      <c r="Z39" s="281"/>
      <c r="AA39" s="281"/>
      <c r="AB39" s="281"/>
      <c r="AC39" s="281"/>
      <c r="AD39" s="281"/>
      <c r="AE39" s="279"/>
    </row>
    <row r="40" spans="1:31" ht="15.75" customHeight="1">
      <c r="A40" s="280" t="s">
        <v>1422</v>
      </c>
      <c r="B40" s="281" t="s">
        <v>1379</v>
      </c>
      <c r="C40" s="282" t="s">
        <v>1428</v>
      </c>
      <c r="D40" s="281"/>
      <c r="E40" s="281"/>
      <c r="F40" s="281"/>
      <c r="G40" s="281"/>
      <c r="H40" s="281" t="s">
        <v>1415</v>
      </c>
      <c r="I40" s="281"/>
      <c r="J40" s="281"/>
      <c r="K40" s="281"/>
      <c r="L40" s="281"/>
      <c r="M40" s="281"/>
      <c r="N40" s="281"/>
      <c r="O40" s="281"/>
      <c r="P40" s="281"/>
      <c r="Q40" s="281"/>
      <c r="R40" s="281"/>
      <c r="S40" s="281"/>
      <c r="T40" s="281"/>
      <c r="U40" s="281"/>
      <c r="V40" s="281"/>
      <c r="W40" s="281"/>
      <c r="X40" s="281"/>
      <c r="Y40" s="281"/>
      <c r="Z40" s="281"/>
      <c r="AA40" s="281"/>
      <c r="AB40" s="281"/>
      <c r="AC40" s="281"/>
      <c r="AD40" s="281"/>
      <c r="AE40" s="279"/>
    </row>
    <row r="41" spans="1:31" ht="15.75" customHeight="1">
      <c r="A41" s="280" t="s">
        <v>1422</v>
      </c>
      <c r="B41" s="281" t="s">
        <v>1379</v>
      </c>
      <c r="C41" s="283" t="s">
        <v>1429</v>
      </c>
      <c r="D41" s="281"/>
      <c r="E41" s="281"/>
      <c r="F41" s="281"/>
      <c r="G41" s="281"/>
      <c r="H41" s="281" t="s">
        <v>1417</v>
      </c>
      <c r="I41" s="281"/>
      <c r="J41" s="281"/>
      <c r="K41" s="281"/>
      <c r="L41" s="281"/>
      <c r="M41" s="281"/>
      <c r="N41" s="281"/>
      <c r="O41" s="281"/>
      <c r="P41" s="281"/>
      <c r="Q41" s="281"/>
      <c r="R41" s="281"/>
      <c r="S41" s="281"/>
      <c r="T41" s="281"/>
      <c r="U41" s="281"/>
      <c r="V41" s="281"/>
      <c r="W41" s="281"/>
      <c r="X41" s="281"/>
      <c r="Y41" s="281"/>
      <c r="Z41" s="281"/>
      <c r="AA41" s="281"/>
      <c r="AB41" s="281"/>
      <c r="AC41" s="281"/>
      <c r="AD41" s="281"/>
      <c r="AE41" s="279"/>
    </row>
    <row r="42" spans="1:31" ht="15.75" customHeight="1">
      <c r="A42" s="280" t="s">
        <v>1422</v>
      </c>
      <c r="B42" s="281" t="s">
        <v>1379</v>
      </c>
      <c r="C42" s="282" t="s">
        <v>1430</v>
      </c>
      <c r="D42" s="281"/>
      <c r="E42" s="281"/>
      <c r="F42" s="281"/>
      <c r="G42" s="281"/>
      <c r="H42" s="281" t="s">
        <v>1419</v>
      </c>
      <c r="I42" s="281"/>
      <c r="J42" s="281"/>
      <c r="K42" s="281"/>
      <c r="L42" s="281"/>
      <c r="M42" s="281"/>
      <c r="N42" s="281"/>
      <c r="O42" s="281"/>
      <c r="P42" s="281"/>
      <c r="Q42" s="281"/>
      <c r="R42" s="281"/>
      <c r="S42" s="281"/>
      <c r="T42" s="281"/>
      <c r="U42" s="281"/>
      <c r="V42" s="281"/>
      <c r="W42" s="281"/>
      <c r="X42" s="281"/>
      <c r="Y42" s="281"/>
      <c r="Z42" s="281"/>
      <c r="AA42" s="281"/>
      <c r="AB42" s="281"/>
      <c r="AC42" s="281"/>
      <c r="AD42" s="281"/>
      <c r="AE42" s="279"/>
    </row>
    <row r="43" spans="1:31" ht="15.75" customHeight="1">
      <c r="A43" s="280" t="s">
        <v>1422</v>
      </c>
      <c r="B43" s="281" t="s">
        <v>1379</v>
      </c>
      <c r="C43" s="282" t="s">
        <v>1431</v>
      </c>
      <c r="D43" s="281"/>
      <c r="E43" s="281"/>
      <c r="F43" s="281"/>
      <c r="G43" s="281"/>
      <c r="H43" s="281" t="s">
        <v>1421</v>
      </c>
      <c r="I43" s="281"/>
      <c r="J43" s="281"/>
      <c r="K43" s="281"/>
      <c r="L43" s="281"/>
      <c r="M43" s="281"/>
      <c r="N43" s="281"/>
      <c r="O43" s="281"/>
      <c r="P43" s="281"/>
      <c r="Q43" s="281"/>
      <c r="R43" s="281"/>
      <c r="S43" s="281"/>
      <c r="T43" s="281"/>
      <c r="U43" s="281"/>
      <c r="V43" s="281"/>
      <c r="W43" s="281"/>
      <c r="X43" s="281"/>
      <c r="Y43" s="281"/>
      <c r="Z43" s="281"/>
      <c r="AA43" s="281"/>
      <c r="AB43" s="281"/>
      <c r="AC43" s="281"/>
      <c r="AD43" s="281"/>
      <c r="AE43" s="279"/>
    </row>
    <row r="44" spans="1:31" ht="15.75" customHeight="1">
      <c r="A44" s="280" t="s">
        <v>211</v>
      </c>
      <c r="B44" s="281" t="s">
        <v>1379</v>
      </c>
      <c r="C44" s="282" t="s">
        <v>1432</v>
      </c>
      <c r="D44" s="280"/>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79"/>
    </row>
    <row r="45" spans="1:31" ht="15.75" customHeight="1">
      <c r="A45" s="280" t="s">
        <v>1433</v>
      </c>
      <c r="B45" s="281" t="s">
        <v>1379</v>
      </c>
      <c r="C45" s="282" t="s">
        <v>1434</v>
      </c>
      <c r="D45" s="284"/>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79"/>
    </row>
    <row r="46" spans="1:31" ht="15.75" customHeight="1">
      <c r="A46" s="280" t="s">
        <v>1435</v>
      </c>
      <c r="B46" s="281" t="s">
        <v>1379</v>
      </c>
      <c r="C46" s="282" t="s">
        <v>1436</v>
      </c>
      <c r="D46" s="280"/>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79"/>
    </row>
    <row r="47" spans="1:31" ht="15.75" customHeight="1">
      <c r="A47" s="280" t="s">
        <v>1437</v>
      </c>
      <c r="B47" s="281" t="s">
        <v>1379</v>
      </c>
      <c r="C47" s="282" t="s">
        <v>1438</v>
      </c>
      <c r="D47" s="280"/>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79"/>
    </row>
    <row r="48" spans="1:31" ht="15.75" customHeight="1">
      <c r="A48" s="280" t="s">
        <v>1439</v>
      </c>
      <c r="B48" s="281" t="s">
        <v>1379</v>
      </c>
      <c r="C48" s="282" t="s">
        <v>1440</v>
      </c>
      <c r="D48" s="280"/>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79"/>
    </row>
    <row r="49" spans="1:31" ht="15.75" customHeight="1">
      <c r="A49" s="280" t="s">
        <v>1439</v>
      </c>
      <c r="B49" s="281" t="s">
        <v>1379</v>
      </c>
      <c r="C49" s="282" t="s">
        <v>1441</v>
      </c>
      <c r="D49" s="281"/>
      <c r="E49" s="281"/>
      <c r="F49" s="281"/>
      <c r="G49" s="281"/>
      <c r="H49" s="281" t="s">
        <v>1442</v>
      </c>
      <c r="I49" s="281"/>
      <c r="J49" s="281"/>
      <c r="K49" s="281"/>
      <c r="L49" s="281"/>
      <c r="M49" s="281"/>
      <c r="N49" s="281"/>
      <c r="O49" s="281"/>
      <c r="P49" s="281"/>
      <c r="Q49" s="281"/>
      <c r="R49" s="281"/>
      <c r="S49" s="281"/>
      <c r="T49" s="281"/>
      <c r="U49" s="281"/>
      <c r="V49" s="281"/>
      <c r="W49" s="281"/>
      <c r="X49" s="281"/>
      <c r="Y49" s="281"/>
      <c r="Z49" s="281"/>
      <c r="AA49" s="281"/>
      <c r="AB49" s="281"/>
      <c r="AC49" s="281"/>
      <c r="AD49" s="281"/>
      <c r="AE49" s="279"/>
    </row>
    <row r="50" spans="1:31" ht="15.75" customHeight="1">
      <c r="A50" s="280" t="s">
        <v>1443</v>
      </c>
      <c r="B50" s="281" t="s">
        <v>1379</v>
      </c>
      <c r="C50" s="282" t="s">
        <v>1444</v>
      </c>
      <c r="D50" s="280"/>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79"/>
    </row>
    <row r="51" spans="1:31" ht="15.75" customHeight="1">
      <c r="A51" s="280" t="s">
        <v>1443</v>
      </c>
      <c r="B51" s="281" t="s">
        <v>1379</v>
      </c>
      <c r="C51" s="282" t="s">
        <v>1445</v>
      </c>
      <c r="D51" s="281"/>
      <c r="E51" s="281"/>
      <c r="F51" s="281"/>
      <c r="G51" s="281"/>
      <c r="H51" s="281" t="s">
        <v>1442</v>
      </c>
      <c r="I51" s="281"/>
      <c r="J51" s="281"/>
      <c r="K51" s="281"/>
      <c r="L51" s="281"/>
      <c r="M51" s="281"/>
      <c r="N51" s="281"/>
      <c r="O51" s="281"/>
      <c r="P51" s="281"/>
      <c r="Q51" s="281"/>
      <c r="R51" s="281"/>
      <c r="S51" s="281"/>
      <c r="T51" s="281"/>
      <c r="U51" s="281"/>
      <c r="V51" s="281"/>
      <c r="W51" s="281"/>
      <c r="X51" s="281"/>
      <c r="Y51" s="281"/>
      <c r="Z51" s="281"/>
      <c r="AA51" s="281"/>
      <c r="AB51" s="281"/>
      <c r="AC51" s="281"/>
      <c r="AD51" s="281"/>
      <c r="AE51" s="279"/>
    </row>
    <row r="52" spans="1:31" ht="15.75" customHeight="1">
      <c r="A52" s="280" t="s">
        <v>1446</v>
      </c>
      <c r="B52" s="281" t="s">
        <v>1379</v>
      </c>
      <c r="C52" s="282" t="s">
        <v>1447</v>
      </c>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79"/>
    </row>
    <row r="53" spans="1:31" ht="15.75" customHeight="1">
      <c r="A53" s="280" t="s">
        <v>820</v>
      </c>
      <c r="B53" s="281" t="s">
        <v>1379</v>
      </c>
      <c r="C53" s="282" t="s">
        <v>1448</v>
      </c>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79"/>
    </row>
    <row r="54" spans="1:31" ht="15.75" customHeight="1">
      <c r="A54" s="280" t="s">
        <v>820</v>
      </c>
      <c r="B54" s="281" t="s">
        <v>1379</v>
      </c>
      <c r="C54" s="282" t="s">
        <v>1449</v>
      </c>
      <c r="D54" s="281"/>
      <c r="E54" s="281"/>
      <c r="F54" s="281"/>
      <c r="G54" s="281"/>
      <c r="H54" s="281" t="s">
        <v>1450</v>
      </c>
      <c r="I54" s="281"/>
      <c r="J54" s="281"/>
      <c r="K54" s="281"/>
      <c r="L54" s="281"/>
      <c r="M54" s="281"/>
      <c r="N54" s="281"/>
      <c r="O54" s="281"/>
      <c r="P54" s="281"/>
      <c r="Q54" s="281"/>
      <c r="R54" s="281"/>
      <c r="S54" s="281"/>
      <c r="T54" s="281"/>
      <c r="U54" s="281"/>
      <c r="V54" s="281"/>
      <c r="W54" s="281"/>
      <c r="X54" s="281"/>
      <c r="Y54" s="281"/>
      <c r="Z54" s="281"/>
      <c r="AA54" s="281"/>
      <c r="AB54" s="281"/>
      <c r="AC54" s="281"/>
      <c r="AD54" s="281"/>
      <c r="AE54" s="279"/>
    </row>
    <row r="55" spans="1:31" ht="15.75" customHeight="1">
      <c r="A55" s="280" t="s">
        <v>820</v>
      </c>
      <c r="B55" s="281" t="s">
        <v>1379</v>
      </c>
      <c r="C55" s="282" t="s">
        <v>1451</v>
      </c>
      <c r="D55" s="281"/>
      <c r="E55" s="281"/>
      <c r="F55" s="281"/>
      <c r="G55" s="281"/>
      <c r="H55" s="281" t="s">
        <v>1452</v>
      </c>
      <c r="I55" s="281"/>
      <c r="J55" s="281"/>
      <c r="K55" s="281"/>
      <c r="L55" s="281"/>
      <c r="M55" s="281"/>
      <c r="N55" s="281"/>
      <c r="O55" s="281"/>
      <c r="P55" s="281"/>
      <c r="Q55" s="281"/>
      <c r="R55" s="281"/>
      <c r="S55" s="281"/>
      <c r="T55" s="281"/>
      <c r="U55" s="281"/>
      <c r="V55" s="281"/>
      <c r="W55" s="281"/>
      <c r="X55" s="281"/>
      <c r="Y55" s="281"/>
      <c r="Z55" s="281"/>
      <c r="AA55" s="281"/>
      <c r="AB55" s="281"/>
      <c r="AC55" s="281"/>
      <c r="AD55" s="281"/>
      <c r="AE55" s="279"/>
    </row>
    <row r="56" spans="1:31" ht="15.75" customHeight="1">
      <c r="A56" s="280" t="s">
        <v>820</v>
      </c>
      <c r="B56" s="281" t="s">
        <v>1379</v>
      </c>
      <c r="C56" s="282" t="s">
        <v>1453</v>
      </c>
      <c r="D56" s="281"/>
      <c r="E56" s="281"/>
      <c r="F56" s="281"/>
      <c r="G56" s="281"/>
      <c r="H56" s="281" t="s">
        <v>1454</v>
      </c>
      <c r="I56" s="281"/>
      <c r="J56" s="281"/>
      <c r="K56" s="281"/>
      <c r="L56" s="281"/>
      <c r="M56" s="281"/>
      <c r="N56" s="281"/>
      <c r="O56" s="281"/>
      <c r="P56" s="281"/>
      <c r="Q56" s="281"/>
      <c r="R56" s="281"/>
      <c r="S56" s="281"/>
      <c r="T56" s="281"/>
      <c r="U56" s="281"/>
      <c r="V56" s="281"/>
      <c r="W56" s="281"/>
      <c r="X56" s="281"/>
      <c r="Y56" s="281"/>
      <c r="Z56" s="281"/>
      <c r="AA56" s="281"/>
      <c r="AB56" s="281"/>
      <c r="AC56" s="281"/>
      <c r="AD56" s="281"/>
      <c r="AE56" s="279"/>
    </row>
    <row r="57" spans="1:31" ht="15.75" customHeight="1">
      <c r="A57" s="280" t="s">
        <v>1455</v>
      </c>
      <c r="B57" s="281" t="s">
        <v>1379</v>
      </c>
      <c r="C57" s="282" t="s">
        <v>1456</v>
      </c>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79"/>
    </row>
    <row r="58" spans="1:31" ht="15.75" customHeight="1">
      <c r="A58" s="280" t="s">
        <v>1457</v>
      </c>
      <c r="B58" s="281" t="s">
        <v>1379</v>
      </c>
      <c r="C58" s="282" t="s">
        <v>1458</v>
      </c>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79"/>
    </row>
    <row r="59" spans="1:31" ht="15.75" customHeight="1">
      <c r="A59" s="280" t="s">
        <v>1459</v>
      </c>
      <c r="B59" s="281" t="s">
        <v>1379</v>
      </c>
      <c r="C59" s="282" t="s">
        <v>1460</v>
      </c>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79"/>
    </row>
    <row r="60" spans="1:31" ht="15.75" customHeight="1">
      <c r="A60" s="280" t="s">
        <v>23</v>
      </c>
      <c r="B60" s="281" t="s">
        <v>1379</v>
      </c>
      <c r="C60" s="282" t="s">
        <v>1461</v>
      </c>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79"/>
    </row>
    <row r="61" spans="1:31" ht="15.75" customHeight="1">
      <c r="A61" s="280" t="s">
        <v>27</v>
      </c>
      <c r="B61" s="281" t="s">
        <v>1379</v>
      </c>
      <c r="C61" s="282"/>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79"/>
    </row>
    <row r="62" spans="1:31" ht="15.75" customHeight="1">
      <c r="A62" s="280" t="s">
        <v>29</v>
      </c>
      <c r="B62" s="281" t="s">
        <v>1379</v>
      </c>
      <c r="C62" s="282"/>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79"/>
    </row>
    <row r="63" spans="1:31" ht="15.75" customHeight="1">
      <c r="A63" s="280" t="s">
        <v>31</v>
      </c>
      <c r="B63" s="281" t="s">
        <v>1379</v>
      </c>
      <c r="C63" s="282"/>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79"/>
    </row>
    <row r="64" spans="1:31" ht="15.75" customHeight="1">
      <c r="A64" s="280" t="s">
        <v>1462</v>
      </c>
      <c r="B64" s="281" t="s">
        <v>1379</v>
      </c>
      <c r="C64" s="282"/>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79"/>
    </row>
    <row r="65" spans="1:31" ht="15.75" customHeight="1">
      <c r="A65" s="280" t="s">
        <v>1463</v>
      </c>
      <c r="B65" s="281" t="s">
        <v>1379</v>
      </c>
      <c r="C65" s="282"/>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79"/>
    </row>
    <row r="66" spans="1:31" ht="15.75" customHeight="1">
      <c r="A66" s="280" t="s">
        <v>40</v>
      </c>
      <c r="B66" s="281" t="s">
        <v>1379</v>
      </c>
      <c r="C66" s="282"/>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79"/>
    </row>
    <row r="67" spans="1:31" ht="15.75" customHeight="1">
      <c r="A67" s="280" t="s">
        <v>32</v>
      </c>
      <c r="B67" s="281" t="s">
        <v>1379</v>
      </c>
      <c r="C67" s="282"/>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79"/>
    </row>
    <row r="68" spans="1:31" ht="15.75" customHeight="1">
      <c r="A68" s="280" t="s">
        <v>1464</v>
      </c>
      <c r="B68" s="281" t="s">
        <v>1379</v>
      </c>
      <c r="C68" s="282"/>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79"/>
    </row>
    <row r="69" spans="1:31" ht="15.75" customHeight="1">
      <c r="A69" s="280" t="s">
        <v>35</v>
      </c>
      <c r="B69" s="281" t="s">
        <v>1379</v>
      </c>
      <c r="C69" s="282"/>
      <c r="D69" s="281"/>
      <c r="E69" s="281"/>
      <c r="F69" s="281"/>
      <c r="G69" s="281"/>
      <c r="H69" s="281"/>
      <c r="I69" s="281"/>
      <c r="J69" s="281"/>
      <c r="K69" s="281"/>
      <c r="L69" s="281"/>
      <c r="M69" s="281"/>
      <c r="N69" s="281"/>
      <c r="O69" s="281"/>
      <c r="P69" s="281"/>
      <c r="Q69" s="281"/>
      <c r="R69" s="281" t="s">
        <v>1465</v>
      </c>
      <c r="S69" s="281"/>
      <c r="T69" s="281"/>
      <c r="U69" s="281"/>
      <c r="V69" s="281"/>
      <c r="W69" s="281"/>
      <c r="X69" s="281"/>
      <c r="Y69" s="281"/>
      <c r="Z69" s="281"/>
      <c r="AA69" s="281"/>
      <c r="AB69" s="281"/>
      <c r="AC69" s="281"/>
      <c r="AD69" s="281"/>
      <c r="AE69" s="279"/>
    </row>
    <row r="70" spans="1:31" ht="15.75" customHeight="1">
      <c r="A70" s="280" t="s">
        <v>1466</v>
      </c>
      <c r="B70" s="281" t="s">
        <v>1379</v>
      </c>
      <c r="C70" s="282"/>
      <c r="D70" s="281"/>
      <c r="E70" s="281"/>
      <c r="F70" s="281"/>
      <c r="G70" s="281"/>
      <c r="H70" s="281"/>
      <c r="I70" s="281"/>
      <c r="J70" s="281"/>
      <c r="K70" s="281"/>
      <c r="L70" s="281"/>
      <c r="M70" s="281"/>
      <c r="N70" s="281"/>
      <c r="O70" s="281"/>
      <c r="P70" s="281"/>
      <c r="Q70" s="281"/>
      <c r="R70" s="281" t="s">
        <v>1467</v>
      </c>
      <c r="S70" s="281"/>
      <c r="T70" s="281"/>
      <c r="U70" s="281"/>
      <c r="V70" s="281"/>
      <c r="W70" s="281"/>
      <c r="X70" s="281"/>
      <c r="Y70" s="281"/>
      <c r="Z70" s="281"/>
      <c r="AA70" s="281"/>
      <c r="AB70" s="281"/>
      <c r="AC70" s="281"/>
      <c r="AD70" s="281"/>
      <c r="AE70" s="279"/>
    </row>
    <row r="71" spans="1:31" ht="15.75" customHeight="1">
      <c r="A71" s="280" t="s">
        <v>45</v>
      </c>
      <c r="B71" s="281" t="s">
        <v>1379</v>
      </c>
      <c r="C71" s="282"/>
      <c r="D71" s="281"/>
      <c r="E71" s="281"/>
      <c r="F71" s="281"/>
      <c r="G71" s="281"/>
      <c r="H71" s="281" t="s">
        <v>1468</v>
      </c>
      <c r="I71" s="281"/>
      <c r="J71" s="281"/>
      <c r="K71" s="281"/>
      <c r="L71" s="281"/>
      <c r="M71" s="281"/>
      <c r="N71" s="281"/>
      <c r="O71" s="281"/>
      <c r="P71" s="281"/>
      <c r="Q71" s="281"/>
      <c r="R71" s="281"/>
      <c r="S71" s="281"/>
      <c r="T71" s="281"/>
      <c r="U71" s="281"/>
      <c r="V71" s="281"/>
      <c r="W71" s="281"/>
      <c r="X71" s="281"/>
      <c r="Y71" s="281"/>
      <c r="Z71" s="281"/>
      <c r="AA71" s="281"/>
      <c r="AB71" s="281"/>
      <c r="AC71" s="281"/>
      <c r="AD71" s="281"/>
      <c r="AE71" s="279"/>
    </row>
    <row r="72" spans="1:31" ht="15.75" customHeight="1">
      <c r="A72" s="281" t="s">
        <v>45</v>
      </c>
      <c r="B72" s="281" t="s">
        <v>1379</v>
      </c>
      <c r="C72" s="282"/>
      <c r="D72" s="281"/>
      <c r="E72" s="281"/>
      <c r="F72" s="281"/>
      <c r="G72" s="281"/>
      <c r="H72" s="281" t="s">
        <v>1469</v>
      </c>
      <c r="I72" s="281"/>
      <c r="J72" s="281"/>
      <c r="K72" s="281"/>
      <c r="L72" s="281"/>
      <c r="M72" s="281"/>
      <c r="N72" s="281"/>
      <c r="O72" s="281"/>
      <c r="P72" s="281"/>
      <c r="Q72" s="281"/>
      <c r="R72" s="281"/>
      <c r="S72" s="281"/>
      <c r="T72" s="281"/>
      <c r="U72" s="281"/>
      <c r="V72" s="281"/>
      <c r="W72" s="281"/>
      <c r="X72" s="281"/>
      <c r="Y72" s="281"/>
      <c r="Z72" s="281"/>
      <c r="AA72" s="281"/>
      <c r="AB72" s="281"/>
      <c r="AC72" s="281"/>
      <c r="AD72" s="281"/>
      <c r="AE72" s="279"/>
    </row>
    <row r="73" spans="1:31" ht="15.75" customHeight="1">
      <c r="A73" s="280" t="s">
        <v>41</v>
      </c>
      <c r="B73" s="281" t="s">
        <v>1379</v>
      </c>
      <c r="C73" s="282"/>
      <c r="D73" s="281"/>
      <c r="E73" s="281"/>
      <c r="F73" s="281"/>
      <c r="G73" s="281"/>
      <c r="H73" s="281" t="s">
        <v>1470</v>
      </c>
      <c r="I73" s="281"/>
      <c r="J73" s="281"/>
      <c r="K73" s="281"/>
      <c r="L73" s="281"/>
      <c r="M73" s="281"/>
      <c r="N73" s="281"/>
      <c r="O73" s="281"/>
      <c r="P73" s="281"/>
      <c r="Q73" s="281"/>
      <c r="R73" s="281"/>
      <c r="S73" s="281"/>
      <c r="T73" s="281"/>
      <c r="U73" s="281"/>
      <c r="V73" s="281"/>
      <c r="W73" s="281"/>
      <c r="X73" s="281"/>
      <c r="Y73" s="281"/>
      <c r="Z73" s="281"/>
      <c r="AA73" s="281"/>
      <c r="AB73" s="281"/>
      <c r="AC73" s="281"/>
      <c r="AD73" s="281"/>
      <c r="AE73" s="279"/>
    </row>
    <row r="74" spans="1:31" ht="15.75" customHeight="1">
      <c r="A74" s="280" t="s">
        <v>41</v>
      </c>
      <c r="B74" s="281" t="s">
        <v>1379</v>
      </c>
      <c r="C74" s="282"/>
      <c r="D74" s="281"/>
      <c r="E74" s="281"/>
      <c r="F74" s="281"/>
      <c r="G74" s="281"/>
      <c r="H74" s="281" t="s">
        <v>1471</v>
      </c>
      <c r="I74" s="281"/>
      <c r="J74" s="281"/>
      <c r="K74" s="281"/>
      <c r="L74" s="281"/>
      <c r="M74" s="281"/>
      <c r="N74" s="281"/>
      <c r="O74" s="281"/>
      <c r="P74" s="281"/>
      <c r="Q74" s="281"/>
      <c r="R74" s="281"/>
      <c r="S74" s="281"/>
      <c r="T74" s="281"/>
      <c r="U74" s="281"/>
      <c r="V74" s="281"/>
      <c r="W74" s="281"/>
      <c r="X74" s="281"/>
      <c r="Y74" s="281"/>
      <c r="Z74" s="281"/>
      <c r="AA74" s="281"/>
      <c r="AB74" s="281"/>
      <c r="AC74" s="281"/>
      <c r="AD74" s="281"/>
      <c r="AE74" s="279"/>
    </row>
    <row r="75" spans="1:31" ht="15.75" customHeight="1">
      <c r="A75" s="280" t="s">
        <v>41</v>
      </c>
      <c r="B75" s="281" t="s">
        <v>1379</v>
      </c>
      <c r="C75" s="282"/>
      <c r="D75" s="281"/>
      <c r="E75" s="281"/>
      <c r="F75" s="281"/>
      <c r="G75" s="281"/>
      <c r="H75" s="281" t="s">
        <v>1472</v>
      </c>
      <c r="I75" s="281"/>
      <c r="J75" s="281"/>
      <c r="K75" s="281"/>
      <c r="L75" s="281"/>
      <c r="M75" s="281"/>
      <c r="N75" s="281"/>
      <c r="O75" s="281"/>
      <c r="P75" s="281"/>
      <c r="Q75" s="281"/>
      <c r="R75" s="281"/>
      <c r="S75" s="281"/>
      <c r="T75" s="281"/>
      <c r="U75" s="281"/>
      <c r="V75" s="281"/>
      <c r="W75" s="281"/>
      <c r="X75" s="281"/>
      <c r="Y75" s="281"/>
      <c r="Z75" s="281"/>
      <c r="AA75" s="281"/>
      <c r="AB75" s="281"/>
      <c r="AC75" s="281"/>
      <c r="AD75" s="281"/>
      <c r="AE75" s="279"/>
    </row>
    <row r="76" spans="1:31" ht="15.75" customHeight="1">
      <c r="A76" s="280" t="s">
        <v>218</v>
      </c>
      <c r="B76" s="281" t="s">
        <v>1473</v>
      </c>
      <c r="C76" s="282" t="s">
        <v>1474</v>
      </c>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79"/>
    </row>
    <row r="77" spans="1:31" ht="15.75" customHeight="1">
      <c r="A77" s="281" t="s">
        <v>1475</v>
      </c>
      <c r="B77" s="281"/>
      <c r="C77" s="282"/>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79"/>
    </row>
    <row r="78" spans="1:31" ht="15.75" customHeight="1">
      <c r="A78" s="281" t="s">
        <v>390</v>
      </c>
      <c r="B78" s="281" t="s">
        <v>1473</v>
      </c>
      <c r="C78" s="282"/>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79"/>
    </row>
    <row r="79" spans="1:31" ht="15.75" customHeight="1">
      <c r="A79" s="280" t="s">
        <v>139</v>
      </c>
      <c r="B79" s="281" t="s">
        <v>1476</v>
      </c>
      <c r="C79" s="282" t="s">
        <v>1477</v>
      </c>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79"/>
    </row>
    <row r="80" spans="1:31" ht="15.75" customHeight="1">
      <c r="A80" s="281" t="s">
        <v>1475</v>
      </c>
      <c r="B80" s="281"/>
      <c r="C80" s="282"/>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79"/>
    </row>
    <row r="81" spans="1:31" ht="15.75" customHeight="1">
      <c r="A81" s="281" t="s">
        <v>178</v>
      </c>
      <c r="B81" s="281" t="s">
        <v>1476</v>
      </c>
      <c r="C81" s="282"/>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79"/>
    </row>
    <row r="82" spans="1:31" ht="15.75" customHeight="1">
      <c r="A82" s="280" t="s">
        <v>139</v>
      </c>
      <c r="B82" s="281" t="s">
        <v>1476</v>
      </c>
      <c r="C82" s="282" t="s">
        <v>1478</v>
      </c>
      <c r="D82" s="281"/>
      <c r="E82" s="281"/>
      <c r="F82" s="281"/>
      <c r="G82" s="281"/>
      <c r="H82" s="281"/>
      <c r="I82" s="281"/>
      <c r="J82" s="281"/>
      <c r="K82" s="281"/>
      <c r="L82" s="281"/>
      <c r="M82" s="281"/>
      <c r="N82" s="281"/>
      <c r="O82" s="281"/>
      <c r="P82" s="281"/>
      <c r="Q82" s="281"/>
      <c r="R82" s="281"/>
      <c r="S82" s="285">
        <v>3</v>
      </c>
      <c r="T82" s="281"/>
      <c r="U82" s="281"/>
      <c r="V82" s="281"/>
      <c r="W82" s="281"/>
      <c r="X82" s="281"/>
      <c r="Y82" s="281"/>
      <c r="Z82" s="281"/>
      <c r="AA82" s="281"/>
      <c r="AB82" s="281"/>
      <c r="AC82" s="281"/>
      <c r="AD82" s="281"/>
      <c r="AE82" s="279"/>
    </row>
    <row r="83" spans="1:31" ht="15.75" customHeight="1">
      <c r="A83" s="281" t="s">
        <v>1475</v>
      </c>
      <c r="B83" s="281"/>
      <c r="C83" s="282"/>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79"/>
    </row>
    <row r="84" spans="1:31" ht="15.75" customHeight="1">
      <c r="A84" s="281" t="s">
        <v>178</v>
      </c>
      <c r="B84" s="281" t="s">
        <v>1476</v>
      </c>
      <c r="C84" s="282"/>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79"/>
    </row>
    <row r="85" spans="1:31" ht="15.75" customHeight="1">
      <c r="A85" s="280" t="s">
        <v>1479</v>
      </c>
      <c r="B85" s="281" t="s">
        <v>1379</v>
      </c>
      <c r="C85" s="282"/>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79"/>
    </row>
    <row r="86" spans="1:31" ht="15.75" customHeight="1">
      <c r="A86" s="280" t="s">
        <v>1480</v>
      </c>
      <c r="B86" s="281" t="s">
        <v>1379</v>
      </c>
      <c r="C86" s="282"/>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79"/>
    </row>
    <row r="87" spans="1:31" ht="15.75" customHeight="1">
      <c r="A87" s="280" t="s">
        <v>1481</v>
      </c>
      <c r="B87" s="281" t="s">
        <v>1379</v>
      </c>
      <c r="C87" s="282"/>
      <c r="D87" s="281"/>
      <c r="E87" s="281"/>
      <c r="F87" s="281"/>
      <c r="G87" s="281"/>
      <c r="H87" s="281" t="s">
        <v>1482</v>
      </c>
      <c r="I87" s="281"/>
      <c r="J87" s="281"/>
      <c r="K87" s="281"/>
      <c r="L87" s="281"/>
      <c r="M87" s="281"/>
      <c r="N87" s="281"/>
      <c r="O87" s="281"/>
      <c r="P87" s="281"/>
      <c r="Q87" s="281"/>
      <c r="R87" s="281"/>
      <c r="S87" s="281"/>
      <c r="T87" s="281"/>
      <c r="U87" s="281"/>
      <c r="V87" s="281"/>
      <c r="W87" s="281"/>
      <c r="X87" s="281"/>
      <c r="Y87" s="281"/>
      <c r="Z87" s="281"/>
      <c r="AA87" s="281"/>
      <c r="AB87" s="281"/>
      <c r="AC87" s="281"/>
      <c r="AD87" s="281"/>
      <c r="AE87" s="279"/>
    </row>
    <row r="88" spans="1:31" ht="15.75" customHeight="1">
      <c r="A88" s="280" t="s">
        <v>1483</v>
      </c>
      <c r="B88" s="281" t="s">
        <v>1379</v>
      </c>
      <c r="C88" s="282"/>
      <c r="D88" s="281"/>
      <c r="E88" s="281"/>
      <c r="F88" s="281"/>
      <c r="G88" s="281"/>
      <c r="H88" s="281" t="s">
        <v>1484</v>
      </c>
      <c r="I88" s="281"/>
      <c r="J88" s="281"/>
      <c r="K88" s="281"/>
      <c r="L88" s="281"/>
      <c r="M88" s="281"/>
      <c r="N88" s="281"/>
      <c r="O88" s="281"/>
      <c r="P88" s="281"/>
      <c r="Q88" s="281"/>
      <c r="R88" s="281"/>
      <c r="S88" s="281"/>
      <c r="T88" s="281"/>
      <c r="U88" s="281"/>
      <c r="V88" s="281"/>
      <c r="W88" s="281"/>
      <c r="X88" s="281"/>
      <c r="Y88" s="281"/>
      <c r="Z88" s="281"/>
      <c r="AA88" s="281"/>
      <c r="AB88" s="281"/>
      <c r="AC88" s="281"/>
      <c r="AD88" s="281"/>
      <c r="AE88" s="279"/>
    </row>
    <row r="89" spans="1:31" ht="15.75" customHeight="1">
      <c r="A89" s="280" t="s">
        <v>1485</v>
      </c>
      <c r="B89" s="281" t="s">
        <v>1379</v>
      </c>
      <c r="C89" s="282"/>
      <c r="D89" s="281"/>
      <c r="E89" s="281"/>
      <c r="F89" s="281"/>
      <c r="G89" s="281"/>
      <c r="H89" s="281" t="s">
        <v>1486</v>
      </c>
      <c r="I89" s="281"/>
      <c r="J89" s="281"/>
      <c r="K89" s="281"/>
      <c r="L89" s="281"/>
      <c r="M89" s="281"/>
      <c r="N89" s="281"/>
      <c r="O89" s="281"/>
      <c r="P89" s="281"/>
      <c r="Q89" s="281"/>
      <c r="R89" s="281"/>
      <c r="S89" s="281"/>
      <c r="T89" s="281"/>
      <c r="U89" s="281"/>
      <c r="V89" s="281"/>
      <c r="W89" s="281"/>
      <c r="X89" s="281"/>
      <c r="Y89" s="281"/>
      <c r="Z89" s="281"/>
      <c r="AA89" s="281"/>
      <c r="AB89" s="281"/>
      <c r="AC89" s="281"/>
      <c r="AD89" s="281"/>
      <c r="AE89" s="279"/>
    </row>
    <row r="90" spans="1:31" ht="15.75" customHeight="1">
      <c r="C90" s="86"/>
    </row>
    <row r="91" spans="1:31" ht="15.75" customHeight="1">
      <c r="A91" s="315" t="s">
        <v>1487</v>
      </c>
      <c r="B91" s="316"/>
      <c r="C91" s="286"/>
      <c r="D91" s="287"/>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row>
    <row r="92" spans="1:31" ht="15.75" customHeight="1">
      <c r="A92" s="317" t="s">
        <v>1488</v>
      </c>
      <c r="B92" s="318"/>
      <c r="C92" s="316"/>
      <c r="D92" s="287"/>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row>
    <row r="93" spans="1:31" ht="15.75" customHeight="1">
      <c r="C93" s="86"/>
    </row>
    <row r="94" spans="1:31" ht="15.75" customHeight="1">
      <c r="A94" s="288" t="s">
        <v>1489</v>
      </c>
      <c r="B94" s="288" t="s">
        <v>1490</v>
      </c>
      <c r="C94" s="288" t="s">
        <v>1491</v>
      </c>
      <c r="D94" s="288" t="s">
        <v>1492</v>
      </c>
    </row>
    <row r="95" spans="1:31" ht="15.75" customHeight="1">
      <c r="A95" s="289" t="s">
        <v>1493</v>
      </c>
      <c r="B95" s="289" t="s">
        <v>1494</v>
      </c>
      <c r="C95" s="289" t="s">
        <v>1495</v>
      </c>
      <c r="D95" s="289">
        <v>2</v>
      </c>
    </row>
    <row r="96" spans="1:31" ht="15.75" customHeight="1">
      <c r="A96" s="289" t="s">
        <v>1496</v>
      </c>
      <c r="B96" s="289" t="s">
        <v>1497</v>
      </c>
      <c r="C96" s="290" t="str">
        <f>"3 - 2"</f>
        <v>3 - 2</v>
      </c>
      <c r="D96" s="289">
        <v>1</v>
      </c>
    </row>
    <row r="97" spans="1:4" ht="15.75" customHeight="1">
      <c r="A97" s="289" t="s">
        <v>1498</v>
      </c>
      <c r="B97" s="289" t="s">
        <v>1499</v>
      </c>
      <c r="C97" s="289" t="s">
        <v>1500</v>
      </c>
      <c r="D97" s="289">
        <v>6</v>
      </c>
    </row>
    <row r="98" spans="1:4" ht="15.75" customHeight="1">
      <c r="A98" s="289" t="s">
        <v>1501</v>
      </c>
      <c r="B98" s="289" t="s">
        <v>1502</v>
      </c>
      <c r="C98" s="289" t="s">
        <v>1503</v>
      </c>
      <c r="D98" s="289">
        <v>5</v>
      </c>
    </row>
    <row r="99" spans="1:4" ht="15.75" customHeight="1">
      <c r="A99" s="289" t="s">
        <v>1504</v>
      </c>
      <c r="B99" s="289" t="s">
        <v>1505</v>
      </c>
      <c r="C99" s="289" t="s">
        <v>1506</v>
      </c>
      <c r="D99" s="289">
        <v>1</v>
      </c>
    </row>
    <row r="100" spans="1:4" ht="15.75" customHeight="1">
      <c r="A100" s="289" t="s">
        <v>1507</v>
      </c>
      <c r="B100" s="289" t="s">
        <v>1508</v>
      </c>
      <c r="C100" s="289" t="s">
        <v>1509</v>
      </c>
      <c r="D100" s="289" t="s">
        <v>1510</v>
      </c>
    </row>
    <row r="101" spans="1:4" ht="15.75" customHeight="1">
      <c r="A101" s="289" t="s">
        <v>1511</v>
      </c>
      <c r="B101" s="289" t="s">
        <v>1512</v>
      </c>
      <c r="C101" s="289" t="s">
        <v>1513</v>
      </c>
      <c r="D101" s="289" t="s">
        <v>1510</v>
      </c>
    </row>
    <row r="102" spans="1:4" ht="15.75" customHeight="1">
      <c r="A102" s="289" t="s">
        <v>1514</v>
      </c>
      <c r="B102" s="289" t="s">
        <v>1515</v>
      </c>
      <c r="C102" s="289" t="s">
        <v>1516</v>
      </c>
      <c r="D102" s="289" t="s">
        <v>1510</v>
      </c>
    </row>
    <row r="103" spans="1:4" ht="15.75" customHeight="1">
      <c r="A103" s="289" t="s">
        <v>1517</v>
      </c>
      <c r="B103" s="289" t="s">
        <v>1518</v>
      </c>
      <c r="C103" s="289" t="s">
        <v>1519</v>
      </c>
      <c r="D103" s="289" t="s">
        <v>1510</v>
      </c>
    </row>
    <row r="104" spans="1:4" ht="15.75" customHeight="1">
      <c r="A104" s="289" t="s">
        <v>1520</v>
      </c>
      <c r="B104" s="289" t="s">
        <v>1521</v>
      </c>
      <c r="C104" s="289" t="s">
        <v>1522</v>
      </c>
      <c r="D104" s="289" t="s">
        <v>1510</v>
      </c>
    </row>
    <row r="105" spans="1:4" ht="15.75" customHeight="1">
      <c r="A105" s="289" t="s">
        <v>1523</v>
      </c>
      <c r="B105" s="289" t="s">
        <v>1524</v>
      </c>
      <c r="C105" s="289" t="s">
        <v>1525</v>
      </c>
      <c r="D105" s="289" t="s">
        <v>1510</v>
      </c>
    </row>
    <row r="106" spans="1:4" ht="15.75" customHeight="1">
      <c r="A106" s="289" t="s">
        <v>1526</v>
      </c>
      <c r="B106" s="289" t="s">
        <v>1527</v>
      </c>
      <c r="C106" s="289" t="s">
        <v>1528</v>
      </c>
      <c r="D106" s="289" t="s">
        <v>1510</v>
      </c>
    </row>
    <row r="107" spans="1:4" ht="15.75" customHeight="1">
      <c r="A107" s="289" t="s">
        <v>1529</v>
      </c>
      <c r="B107" s="289" t="s">
        <v>1530</v>
      </c>
      <c r="C107" s="289" t="s">
        <v>1531</v>
      </c>
      <c r="D107" s="289" t="s">
        <v>1510</v>
      </c>
    </row>
    <row r="108" spans="1:4" ht="15.75" customHeight="1">
      <c r="A108" s="289" t="s">
        <v>1532</v>
      </c>
      <c r="B108" s="289" t="s">
        <v>1533</v>
      </c>
      <c r="C108" s="289" t="s">
        <v>1534</v>
      </c>
      <c r="D108" s="289" t="s">
        <v>1535</v>
      </c>
    </row>
    <row r="109" spans="1:4" ht="15.75" customHeight="1">
      <c r="A109" s="291"/>
      <c r="B109" s="291"/>
      <c r="C109" s="292"/>
      <c r="D109" s="291"/>
    </row>
    <row r="110" spans="1:4" ht="15.75" customHeight="1">
      <c r="A110" s="291"/>
      <c r="B110" s="288" t="s">
        <v>1536</v>
      </c>
      <c r="C110" s="288" t="s">
        <v>1491</v>
      </c>
      <c r="D110" s="291"/>
    </row>
    <row r="111" spans="1:4" ht="15.75" customHeight="1">
      <c r="A111" s="291"/>
      <c r="B111" s="289" t="s">
        <v>1537</v>
      </c>
      <c r="C111" s="289" t="s">
        <v>1538</v>
      </c>
      <c r="D111" s="291"/>
    </row>
    <row r="112" spans="1:4" ht="15.75" customHeight="1">
      <c r="A112" s="291"/>
      <c r="B112" s="289" t="s">
        <v>1539</v>
      </c>
      <c r="C112" s="293" t="s">
        <v>1540</v>
      </c>
      <c r="D112" s="291"/>
    </row>
    <row r="113" spans="1:4" ht="15.75" customHeight="1">
      <c r="A113" s="291"/>
      <c r="B113" s="294" t="s">
        <v>1541</v>
      </c>
      <c r="C113" s="295" t="s">
        <v>1542</v>
      </c>
      <c r="D113" s="291"/>
    </row>
    <row r="114" spans="1:4" ht="15.75" customHeight="1">
      <c r="A114" s="291"/>
      <c r="B114" s="295" t="s">
        <v>1542</v>
      </c>
      <c r="C114" s="295" t="s">
        <v>1542</v>
      </c>
      <c r="D114" s="291"/>
    </row>
    <row r="115" spans="1:4" ht="15.75" customHeight="1">
      <c r="A115" s="291"/>
      <c r="B115" s="295" t="s">
        <v>1543</v>
      </c>
      <c r="C115" s="295" t="s">
        <v>1544</v>
      </c>
      <c r="D115" s="291"/>
    </row>
    <row r="116" spans="1:4" ht="15.75" customHeight="1">
      <c r="A116" s="291"/>
      <c r="B116" s="295" t="s">
        <v>1545</v>
      </c>
      <c r="C116" s="295" t="s">
        <v>1546</v>
      </c>
      <c r="D116" s="291"/>
    </row>
    <row r="117" spans="1:4" ht="15.75" customHeight="1">
      <c r="A117" s="291"/>
      <c r="B117" s="295" t="s">
        <v>1547</v>
      </c>
      <c r="C117" s="295" t="s">
        <v>1548</v>
      </c>
      <c r="D117" s="291"/>
    </row>
    <row r="118" spans="1:4" ht="15.75" customHeight="1">
      <c r="A118" s="291"/>
      <c r="B118" s="295" t="s">
        <v>1549</v>
      </c>
      <c r="C118" s="295" t="s">
        <v>1550</v>
      </c>
      <c r="D118" s="291"/>
    </row>
    <row r="119" spans="1:4" ht="15.75" customHeight="1">
      <c r="A119" s="291"/>
      <c r="B119" s="295" t="s">
        <v>1551</v>
      </c>
      <c r="C119" s="295" t="s">
        <v>1552</v>
      </c>
      <c r="D119" s="291"/>
    </row>
    <row r="120" spans="1:4" ht="15.75" customHeight="1">
      <c r="A120" s="291"/>
      <c r="B120" s="295" t="s">
        <v>1553</v>
      </c>
      <c r="C120" s="295" t="s">
        <v>1554</v>
      </c>
      <c r="D120" s="291"/>
    </row>
    <row r="121" spans="1:4" ht="15.75" customHeight="1">
      <c r="A121" s="291"/>
      <c r="B121" s="295" t="s">
        <v>1555</v>
      </c>
      <c r="C121" s="295" t="s">
        <v>1556</v>
      </c>
      <c r="D121" s="291"/>
    </row>
    <row r="122" spans="1:4" ht="15.75" customHeight="1">
      <c r="A122" s="291"/>
      <c r="B122" s="295" t="s">
        <v>188</v>
      </c>
      <c r="C122" s="295" t="s">
        <v>188</v>
      </c>
      <c r="D122" s="291"/>
    </row>
    <row r="123" spans="1:4" ht="15.75" customHeight="1">
      <c r="A123" s="291"/>
      <c r="B123" s="295" t="s">
        <v>1557</v>
      </c>
      <c r="C123" s="295" t="s">
        <v>1558</v>
      </c>
      <c r="D123" s="291"/>
    </row>
    <row r="124" spans="1:4" ht="15.75" customHeight="1">
      <c r="A124" s="291"/>
      <c r="B124" s="295" t="s">
        <v>1559</v>
      </c>
      <c r="C124" s="295" t="s">
        <v>1560</v>
      </c>
      <c r="D124" s="291"/>
    </row>
    <row r="125" spans="1:4" ht="15.75" customHeight="1">
      <c r="A125" s="291"/>
      <c r="B125" s="295" t="s">
        <v>1561</v>
      </c>
      <c r="C125" s="295" t="s">
        <v>1562</v>
      </c>
      <c r="D125" s="291"/>
    </row>
    <row r="126" spans="1:4" ht="15.75" customHeight="1">
      <c r="A126" s="291"/>
      <c r="B126" s="295" t="s">
        <v>1563</v>
      </c>
      <c r="C126" s="295" t="s">
        <v>1564</v>
      </c>
      <c r="D126" s="291"/>
    </row>
    <row r="127" spans="1:4" ht="15.75" customHeight="1">
      <c r="A127" s="291"/>
      <c r="B127" s="295" t="s">
        <v>1565</v>
      </c>
      <c r="C127" s="295" t="s">
        <v>1566</v>
      </c>
      <c r="D127" s="291"/>
    </row>
    <row r="128" spans="1:4" ht="15.75" customHeight="1">
      <c r="A128" s="291"/>
      <c r="B128" s="295" t="s">
        <v>1567</v>
      </c>
      <c r="C128" s="295" t="s">
        <v>1568</v>
      </c>
      <c r="D128" s="291"/>
    </row>
    <row r="129" spans="1:4" ht="15.75" customHeight="1">
      <c r="A129" s="291"/>
      <c r="B129" s="295" t="s">
        <v>1569</v>
      </c>
      <c r="C129" s="295" t="s">
        <v>1570</v>
      </c>
      <c r="D129" s="291"/>
    </row>
    <row r="130" spans="1:4" ht="15.75" customHeight="1">
      <c r="A130" s="291"/>
      <c r="B130" s="295" t="s">
        <v>1571</v>
      </c>
      <c r="C130" s="295" t="s">
        <v>1572</v>
      </c>
      <c r="D130" s="291"/>
    </row>
    <row r="131" spans="1:4" ht="15.75" customHeight="1">
      <c r="A131" s="291"/>
      <c r="B131" s="295" t="s">
        <v>1573</v>
      </c>
      <c r="C131" s="295" t="s">
        <v>1574</v>
      </c>
      <c r="D131" s="291"/>
    </row>
    <row r="132" spans="1:4" ht="15.75" customHeight="1">
      <c r="A132" s="291"/>
      <c r="B132" s="295" t="s">
        <v>1575</v>
      </c>
      <c r="C132" s="295" t="s">
        <v>1576</v>
      </c>
      <c r="D132" s="291"/>
    </row>
    <row r="133" spans="1:4" ht="15.75" customHeight="1">
      <c r="A133" s="291"/>
      <c r="B133" s="295" t="s">
        <v>1577</v>
      </c>
      <c r="C133" s="295" t="s">
        <v>1578</v>
      </c>
      <c r="D133" s="291"/>
    </row>
    <row r="134" spans="1:4" ht="15.75" customHeight="1">
      <c r="A134" s="291"/>
      <c r="B134" s="296" t="s">
        <v>1579</v>
      </c>
      <c r="C134" s="296" t="s">
        <v>1580</v>
      </c>
      <c r="D134" s="291"/>
    </row>
    <row r="135" spans="1:4" ht="15.75" customHeight="1">
      <c r="A135" s="291"/>
      <c r="B135" s="296" t="s">
        <v>1581</v>
      </c>
      <c r="C135" s="296" t="s">
        <v>1467</v>
      </c>
      <c r="D135" s="291"/>
    </row>
    <row r="136" spans="1:4" ht="15.75" customHeight="1">
      <c r="A136" s="291"/>
      <c r="B136" s="296" t="s">
        <v>1582</v>
      </c>
      <c r="C136" s="296" t="s">
        <v>1582</v>
      </c>
      <c r="D136" s="291"/>
    </row>
    <row r="137" spans="1:4" ht="15.75" customHeight="1">
      <c r="A137" s="291"/>
      <c r="B137" s="296" t="s">
        <v>39</v>
      </c>
      <c r="C137" s="296" t="s">
        <v>39</v>
      </c>
      <c r="D137" s="291"/>
    </row>
    <row r="138" spans="1:4" ht="15.75" customHeight="1">
      <c r="A138" s="291"/>
      <c r="B138" s="296" t="s">
        <v>1583</v>
      </c>
      <c r="C138" s="296" t="s">
        <v>1584</v>
      </c>
      <c r="D138" s="291"/>
    </row>
    <row r="139" spans="1:4" ht="15.75" customHeight="1">
      <c r="A139" s="291"/>
      <c r="B139" s="296" t="s">
        <v>1585</v>
      </c>
      <c r="C139" s="296" t="s">
        <v>1586</v>
      </c>
      <c r="D139" s="291"/>
    </row>
    <row r="140" spans="1:4" ht="15.75" customHeight="1">
      <c r="A140" s="291"/>
      <c r="B140" s="296" t="s">
        <v>1587</v>
      </c>
      <c r="C140" s="296" t="s">
        <v>1588</v>
      </c>
      <c r="D140" s="291"/>
    </row>
    <row r="141" spans="1:4" ht="15.75" customHeight="1">
      <c r="A141" s="291"/>
      <c r="B141" s="296" t="s">
        <v>1589</v>
      </c>
      <c r="C141" s="296" t="s">
        <v>1590</v>
      </c>
      <c r="D141" s="291"/>
    </row>
    <row r="142" spans="1:4" ht="15.75" customHeight="1">
      <c r="A142" s="291"/>
      <c r="B142" s="296" t="s">
        <v>1591</v>
      </c>
      <c r="C142" s="296" t="s">
        <v>1592</v>
      </c>
      <c r="D142" s="291"/>
    </row>
    <row r="143" spans="1:4" ht="15.75" customHeight="1">
      <c r="A143" s="291"/>
      <c r="B143" s="296" t="s">
        <v>1593</v>
      </c>
      <c r="C143" s="296" t="s">
        <v>1593</v>
      </c>
      <c r="D143" s="291"/>
    </row>
    <row r="144" spans="1:4" ht="15.75" customHeight="1">
      <c r="A144" s="297"/>
      <c r="B144" s="298" t="s">
        <v>1594</v>
      </c>
      <c r="C144" s="298" t="s">
        <v>1595</v>
      </c>
      <c r="D144" s="297"/>
    </row>
    <row r="145" spans="1:5" ht="15.75" customHeight="1">
      <c r="A145" s="11"/>
      <c r="B145" s="299"/>
      <c r="C145" s="299"/>
      <c r="D145" s="11"/>
      <c r="E145" s="11"/>
    </row>
    <row r="146" spans="1:5" ht="15.75" customHeight="1">
      <c r="A146" s="11"/>
      <c r="B146" s="299"/>
      <c r="C146" s="299"/>
      <c r="D146" s="11"/>
      <c r="E146" s="11"/>
    </row>
    <row r="147" spans="1:5" ht="15.75" customHeight="1">
      <c r="A147" s="11"/>
      <c r="B147" s="299"/>
      <c r="C147" s="299"/>
      <c r="D147" s="11"/>
      <c r="E147" s="11"/>
    </row>
    <row r="148" spans="1:5" ht="15.75" customHeight="1">
      <c r="A148" s="11"/>
      <c r="B148" s="299"/>
      <c r="C148" s="299"/>
      <c r="D148" s="11"/>
      <c r="E148" s="11"/>
    </row>
    <row r="149" spans="1:5" ht="15.75" customHeight="1">
      <c r="A149" s="11"/>
      <c r="B149" s="299"/>
      <c r="C149" s="299"/>
      <c r="D149" s="11"/>
      <c r="E149" s="11"/>
    </row>
    <row r="150" spans="1:5" ht="15.75" customHeight="1">
      <c r="A150" s="11"/>
      <c r="B150" s="299"/>
      <c r="C150" s="299"/>
      <c r="D150" s="11"/>
      <c r="E150" s="11"/>
    </row>
    <row r="151" spans="1:5" ht="15.75" customHeight="1">
      <c r="A151" s="11"/>
      <c r="B151" s="299"/>
      <c r="C151" s="299"/>
      <c r="D151" s="11"/>
      <c r="E151" s="11"/>
    </row>
    <row r="152" spans="1:5" ht="15.75" customHeight="1">
      <c r="A152" s="11"/>
      <c r="B152" s="299"/>
      <c r="C152" s="299"/>
      <c r="D152" s="11"/>
      <c r="E152" s="11"/>
    </row>
    <row r="153" spans="1:5" ht="15.75" customHeight="1">
      <c r="A153" s="11"/>
      <c r="B153" s="299"/>
      <c r="C153" s="299"/>
      <c r="D153" s="11"/>
      <c r="E153" s="11"/>
    </row>
    <row r="154" spans="1:5" ht="15.75" customHeight="1">
      <c r="A154" s="11"/>
      <c r="B154" s="299"/>
      <c r="C154" s="299"/>
      <c r="D154" s="11"/>
      <c r="E154" s="11"/>
    </row>
    <row r="155" spans="1:5" ht="15.75" customHeight="1">
      <c r="A155" s="11"/>
      <c r="B155" s="299"/>
      <c r="C155" s="299"/>
      <c r="D155" s="11"/>
      <c r="E155" s="11"/>
    </row>
    <row r="156" spans="1:5" ht="15.75" customHeight="1">
      <c r="A156" s="11"/>
      <c r="B156" s="11"/>
      <c r="C156" s="86"/>
      <c r="D156" s="11"/>
      <c r="E156" s="11"/>
    </row>
    <row r="157" spans="1:5" ht="15.75" customHeight="1">
      <c r="A157" s="11"/>
      <c r="B157" s="11"/>
      <c r="C157" s="86"/>
      <c r="D157" s="11"/>
      <c r="E157" s="11"/>
    </row>
    <row r="158" spans="1:5" ht="15.75" customHeight="1">
      <c r="A158" s="11"/>
      <c r="B158" s="11"/>
      <c r="C158" s="86"/>
      <c r="D158" s="11"/>
      <c r="E158" s="11"/>
    </row>
    <row r="159" spans="1:5" ht="15.75" customHeight="1">
      <c r="A159" s="11"/>
      <c r="B159" s="11"/>
      <c r="C159" s="86"/>
      <c r="D159" s="11"/>
      <c r="E159" s="11"/>
    </row>
    <row r="160" spans="1:5" ht="15.75" customHeight="1">
      <c r="A160" s="11"/>
      <c r="B160" s="11"/>
      <c r="C160" s="86"/>
      <c r="D160" s="11"/>
      <c r="E160" s="11"/>
    </row>
    <row r="161" spans="3:3" ht="15.75" customHeight="1">
      <c r="C161" s="86"/>
    </row>
    <row r="162" spans="3:3" ht="15.75" customHeight="1">
      <c r="C162" s="86"/>
    </row>
    <row r="163" spans="3:3" ht="15.75" customHeight="1">
      <c r="C163" s="86"/>
    </row>
    <row r="164" spans="3:3" ht="15.75" customHeight="1">
      <c r="C164" s="86"/>
    </row>
    <row r="165" spans="3:3" ht="15.75" customHeight="1">
      <c r="C165" s="86"/>
    </row>
    <row r="166" spans="3:3" ht="15.75" customHeight="1">
      <c r="C166" s="86"/>
    </row>
    <row r="167" spans="3:3" ht="15.75" customHeight="1">
      <c r="C167" s="86"/>
    </row>
    <row r="168" spans="3:3" ht="15.75" customHeight="1">
      <c r="C168" s="86"/>
    </row>
    <row r="169" spans="3:3" ht="15.75" customHeight="1">
      <c r="C169" s="86"/>
    </row>
    <row r="170" spans="3:3" ht="15.75" customHeight="1">
      <c r="C170" s="86"/>
    </row>
    <row r="171" spans="3:3" ht="15.75" customHeight="1">
      <c r="C171" s="86"/>
    </row>
    <row r="172" spans="3:3" ht="15.75" customHeight="1">
      <c r="C172" s="86"/>
    </row>
    <row r="173" spans="3:3" ht="15.75" customHeight="1">
      <c r="C173" s="86"/>
    </row>
    <row r="174" spans="3:3" ht="15.75" customHeight="1">
      <c r="C174" s="86"/>
    </row>
    <row r="175" spans="3:3" ht="15.75" customHeight="1">
      <c r="C175" s="86"/>
    </row>
    <row r="176" spans="3:3" ht="15.75" customHeight="1">
      <c r="C176" s="86"/>
    </row>
    <row r="177" spans="3:3" ht="15.75" customHeight="1">
      <c r="C177" s="86"/>
    </row>
    <row r="178" spans="3:3" ht="15.75" customHeight="1">
      <c r="C178" s="86"/>
    </row>
    <row r="179" spans="3:3" ht="15.75" customHeight="1">
      <c r="C179" s="86"/>
    </row>
    <row r="180" spans="3:3" ht="15.75" customHeight="1">
      <c r="C180" s="86"/>
    </row>
    <row r="181" spans="3:3" ht="15.75" customHeight="1">
      <c r="C181" s="86"/>
    </row>
    <row r="182" spans="3:3" ht="15.75" customHeight="1">
      <c r="C182" s="86"/>
    </row>
    <row r="183" spans="3:3" ht="15.75" customHeight="1">
      <c r="C183" s="86"/>
    </row>
    <row r="184" spans="3:3" ht="15.75" customHeight="1">
      <c r="C184" s="86"/>
    </row>
    <row r="185" spans="3:3" ht="15.75" customHeight="1">
      <c r="C185" s="86"/>
    </row>
    <row r="186" spans="3:3" ht="15.75" customHeight="1">
      <c r="C186" s="86"/>
    </row>
    <row r="187" spans="3:3" ht="15.75" customHeight="1">
      <c r="C187" s="86"/>
    </row>
    <row r="188" spans="3:3" ht="15.75" customHeight="1">
      <c r="C188" s="86"/>
    </row>
    <row r="189" spans="3:3" ht="15.75" customHeight="1">
      <c r="C189" s="86"/>
    </row>
    <row r="190" spans="3:3" ht="15.75" customHeight="1">
      <c r="C190" s="86"/>
    </row>
    <row r="191" spans="3:3" ht="15.75" customHeight="1">
      <c r="C191" s="86"/>
    </row>
    <row r="192" spans="3:3" ht="15.75" customHeight="1">
      <c r="C192" s="86"/>
    </row>
    <row r="193" spans="3:3" ht="15.75" customHeight="1">
      <c r="C193" s="86"/>
    </row>
    <row r="194" spans="3:3" ht="15.75" customHeight="1">
      <c r="C194" s="86"/>
    </row>
    <row r="195" spans="3:3" ht="15.75" customHeight="1">
      <c r="C195" s="86"/>
    </row>
    <row r="196" spans="3:3" ht="15.75" customHeight="1">
      <c r="C196" s="86"/>
    </row>
    <row r="197" spans="3:3" ht="15.75" customHeight="1">
      <c r="C197" s="86"/>
    </row>
    <row r="198" spans="3:3" ht="15.75" customHeight="1">
      <c r="C198" s="86"/>
    </row>
    <row r="199" spans="3:3" ht="15.75" customHeight="1">
      <c r="C199" s="86"/>
    </row>
    <row r="200" spans="3:3" ht="15.75" customHeight="1">
      <c r="C200" s="86"/>
    </row>
    <row r="201" spans="3:3" ht="15.75" customHeight="1">
      <c r="C201" s="86"/>
    </row>
    <row r="202" spans="3:3" ht="15.75" customHeight="1">
      <c r="C202" s="86"/>
    </row>
    <row r="203" spans="3:3" ht="15.75" customHeight="1">
      <c r="C203" s="86"/>
    </row>
    <row r="204" spans="3:3" ht="15.75" customHeight="1">
      <c r="C204" s="86"/>
    </row>
    <row r="205" spans="3:3" ht="15.75" customHeight="1">
      <c r="C205" s="86"/>
    </row>
    <row r="206" spans="3:3" ht="15.75" customHeight="1">
      <c r="C206" s="86"/>
    </row>
    <row r="207" spans="3:3" ht="15.75" customHeight="1">
      <c r="C207" s="86"/>
    </row>
    <row r="208" spans="3:3" ht="15.75" customHeight="1">
      <c r="C208" s="86"/>
    </row>
    <row r="209" spans="3:3" ht="15.75" customHeight="1">
      <c r="C209" s="86"/>
    </row>
    <row r="210" spans="3:3" ht="15.75" customHeight="1">
      <c r="C210" s="86"/>
    </row>
    <row r="211" spans="3:3" ht="15.75" customHeight="1">
      <c r="C211" s="86"/>
    </row>
    <row r="212" spans="3:3" ht="15.75" customHeight="1">
      <c r="C212" s="86"/>
    </row>
    <row r="213" spans="3:3" ht="15.75" customHeight="1">
      <c r="C213" s="86"/>
    </row>
    <row r="214" spans="3:3" ht="15.75" customHeight="1">
      <c r="C214" s="86"/>
    </row>
    <row r="215" spans="3:3" ht="15.75" customHeight="1">
      <c r="C215" s="86"/>
    </row>
    <row r="216" spans="3:3" ht="15.75" customHeight="1">
      <c r="C216" s="86"/>
    </row>
    <row r="217" spans="3:3" ht="15.75" customHeight="1">
      <c r="C217" s="86"/>
    </row>
    <row r="218" spans="3:3" ht="15.75" customHeight="1">
      <c r="C218" s="86"/>
    </row>
    <row r="219" spans="3:3" ht="15.75" customHeight="1">
      <c r="C219" s="86"/>
    </row>
    <row r="220" spans="3:3" ht="15.75" customHeight="1">
      <c r="C220" s="86"/>
    </row>
    <row r="221" spans="3:3" ht="15.75" customHeight="1">
      <c r="C221" s="86"/>
    </row>
    <row r="222" spans="3:3" ht="15.75" customHeight="1">
      <c r="C222" s="86"/>
    </row>
    <row r="223" spans="3:3" ht="15.75" customHeight="1">
      <c r="C223" s="86"/>
    </row>
    <row r="224" spans="3:3" ht="15.75" customHeight="1">
      <c r="C224" s="86"/>
    </row>
    <row r="225" spans="3:3" ht="15.75" customHeight="1">
      <c r="C225" s="86"/>
    </row>
    <row r="226" spans="3:3" ht="15.75" customHeight="1">
      <c r="C226" s="86"/>
    </row>
    <row r="227" spans="3:3" ht="15.75" customHeight="1">
      <c r="C227" s="86"/>
    </row>
    <row r="228" spans="3:3" ht="15.75" customHeight="1">
      <c r="C228" s="86"/>
    </row>
    <row r="229" spans="3:3" ht="15.75" customHeight="1">
      <c r="C229" s="86"/>
    </row>
    <row r="230" spans="3:3" ht="15.75" customHeight="1">
      <c r="C230" s="86"/>
    </row>
    <row r="231" spans="3:3" ht="15.75" customHeight="1">
      <c r="C231" s="86"/>
    </row>
    <row r="232" spans="3:3" ht="15.75" customHeight="1">
      <c r="C232" s="86"/>
    </row>
    <row r="233" spans="3:3" ht="15.75" customHeight="1">
      <c r="C233" s="86"/>
    </row>
    <row r="234" spans="3:3" ht="15.75" customHeight="1">
      <c r="C234" s="86"/>
    </row>
    <row r="235" spans="3:3" ht="15.75" customHeight="1">
      <c r="C235" s="86"/>
    </row>
    <row r="236" spans="3:3" ht="15.75" customHeight="1">
      <c r="C236" s="86"/>
    </row>
    <row r="237" spans="3:3" ht="15.75" customHeight="1">
      <c r="C237" s="86"/>
    </row>
    <row r="238" spans="3:3" ht="15.75" customHeight="1">
      <c r="C238" s="86"/>
    </row>
    <row r="239" spans="3:3" ht="15.75" customHeight="1">
      <c r="C239" s="86"/>
    </row>
    <row r="240" spans="3:3" ht="15.75" customHeight="1">
      <c r="C240" s="86"/>
    </row>
    <row r="241" spans="3:3" ht="15.75" customHeight="1">
      <c r="C241" s="86"/>
    </row>
    <row r="242" spans="3:3" ht="15.75" customHeight="1">
      <c r="C242" s="86"/>
    </row>
    <row r="243" spans="3:3" ht="15.75" customHeight="1">
      <c r="C243" s="86"/>
    </row>
    <row r="244" spans="3:3" ht="15.75" customHeight="1">
      <c r="C244" s="86"/>
    </row>
    <row r="245" spans="3:3" ht="15.75" customHeight="1">
      <c r="C245" s="86"/>
    </row>
    <row r="246" spans="3:3" ht="15.75" customHeight="1">
      <c r="C246" s="86"/>
    </row>
    <row r="247" spans="3:3" ht="15.75" customHeight="1">
      <c r="C247" s="86"/>
    </row>
    <row r="248" spans="3:3" ht="15.75" customHeight="1">
      <c r="C248" s="86"/>
    </row>
    <row r="249" spans="3:3" ht="15.75" customHeight="1">
      <c r="C249" s="86"/>
    </row>
    <row r="250" spans="3:3" ht="15.75" customHeight="1">
      <c r="C250" s="86"/>
    </row>
    <row r="251" spans="3:3" ht="15.75" customHeight="1">
      <c r="C251" s="86"/>
    </row>
    <row r="252" spans="3:3" ht="15.75" customHeight="1">
      <c r="C252" s="86"/>
    </row>
    <row r="253" spans="3:3" ht="15.75" customHeight="1">
      <c r="C253" s="86"/>
    </row>
    <row r="254" spans="3:3" ht="15.75" customHeight="1">
      <c r="C254" s="86"/>
    </row>
    <row r="255" spans="3:3" ht="15.75" customHeight="1">
      <c r="C255" s="86"/>
    </row>
    <row r="256" spans="3:3" ht="15.75" customHeight="1">
      <c r="C256" s="86"/>
    </row>
    <row r="257" spans="3:3" ht="15.75" customHeight="1">
      <c r="C257" s="86"/>
    </row>
    <row r="258" spans="3:3" ht="15.75" customHeight="1">
      <c r="C258" s="86"/>
    </row>
    <row r="259" spans="3:3" ht="15.75" customHeight="1">
      <c r="C259" s="86"/>
    </row>
    <row r="260" spans="3:3" ht="15.75" customHeight="1">
      <c r="C260" s="86"/>
    </row>
    <row r="261" spans="3:3" ht="15.75" customHeight="1">
      <c r="C261" s="86"/>
    </row>
    <row r="262" spans="3:3" ht="15.75" customHeight="1">
      <c r="C262" s="86"/>
    </row>
    <row r="263" spans="3:3" ht="15.75" customHeight="1">
      <c r="C263" s="86"/>
    </row>
    <row r="264" spans="3:3" ht="15.75" customHeight="1">
      <c r="C264" s="86"/>
    </row>
    <row r="265" spans="3:3" ht="15.75" customHeight="1">
      <c r="C265" s="86"/>
    </row>
    <row r="266" spans="3:3" ht="15.75" customHeight="1">
      <c r="C266" s="86"/>
    </row>
    <row r="267" spans="3:3" ht="15.75" customHeight="1">
      <c r="C267" s="86"/>
    </row>
    <row r="268" spans="3:3" ht="15.75" customHeight="1">
      <c r="C268" s="86"/>
    </row>
    <row r="269" spans="3:3" ht="15.75" customHeight="1">
      <c r="C269" s="86"/>
    </row>
    <row r="270" spans="3:3" ht="15.75" customHeight="1">
      <c r="C270" s="86"/>
    </row>
    <row r="271" spans="3:3" ht="15.75" customHeight="1">
      <c r="C271" s="86"/>
    </row>
    <row r="272" spans="3:3" ht="15.75" customHeight="1">
      <c r="C272" s="86"/>
    </row>
    <row r="273" spans="3:3" ht="15.75" customHeight="1">
      <c r="C273" s="86"/>
    </row>
    <row r="274" spans="3:3" ht="15.75" customHeight="1">
      <c r="C274" s="86"/>
    </row>
    <row r="275" spans="3:3" ht="15.75" customHeight="1">
      <c r="C275" s="86"/>
    </row>
    <row r="276" spans="3:3" ht="15.75" customHeight="1">
      <c r="C276" s="86"/>
    </row>
    <row r="277" spans="3:3" ht="15.75" customHeight="1">
      <c r="C277" s="86"/>
    </row>
    <row r="278" spans="3:3" ht="15.75" customHeight="1">
      <c r="C278" s="86"/>
    </row>
    <row r="279" spans="3:3" ht="15.75" customHeight="1">
      <c r="C279" s="86"/>
    </row>
    <row r="280" spans="3:3" ht="15.75" customHeight="1">
      <c r="C280" s="86"/>
    </row>
    <row r="281" spans="3:3" ht="15.75" customHeight="1">
      <c r="C281" s="86"/>
    </row>
    <row r="282" spans="3:3" ht="15.75" customHeight="1">
      <c r="C282" s="86"/>
    </row>
    <row r="283" spans="3:3" ht="15.75" customHeight="1">
      <c r="C283" s="86"/>
    </row>
    <row r="284" spans="3:3" ht="15.75" customHeight="1">
      <c r="C284" s="86"/>
    </row>
    <row r="285" spans="3:3" ht="15.75" customHeight="1">
      <c r="C285" s="86"/>
    </row>
    <row r="286" spans="3:3" ht="15.75" customHeight="1">
      <c r="C286" s="86"/>
    </row>
    <row r="287" spans="3:3" ht="15.75" customHeight="1">
      <c r="C287" s="86"/>
    </row>
    <row r="288" spans="3:3" ht="15.75" customHeight="1">
      <c r="C288" s="86"/>
    </row>
    <row r="289" spans="3:3" ht="15.75" customHeight="1">
      <c r="C289" s="86"/>
    </row>
    <row r="290" spans="3:3" ht="15.75" customHeight="1">
      <c r="C290" s="86"/>
    </row>
    <row r="291" spans="3:3" ht="15.75" customHeight="1">
      <c r="C291" s="86"/>
    </row>
    <row r="292" spans="3:3" ht="15.75" customHeight="1">
      <c r="C292" s="86"/>
    </row>
    <row r="293" spans="3:3" ht="15.75" customHeight="1">
      <c r="C293" s="86"/>
    </row>
    <row r="294" spans="3:3" ht="15.75" customHeight="1">
      <c r="C294" s="86"/>
    </row>
    <row r="295" spans="3:3" ht="15.75" customHeight="1">
      <c r="C295" s="86"/>
    </row>
    <row r="296" spans="3:3" ht="15.75" customHeight="1">
      <c r="C296" s="86"/>
    </row>
    <row r="297" spans="3:3" ht="15.75" customHeight="1">
      <c r="C297" s="86"/>
    </row>
    <row r="298" spans="3:3" ht="15.75" customHeight="1">
      <c r="C298" s="86"/>
    </row>
    <row r="299" spans="3:3" ht="15.75" customHeight="1">
      <c r="C299" s="86"/>
    </row>
    <row r="300" spans="3:3" ht="15.75" customHeight="1">
      <c r="C300" s="86"/>
    </row>
    <row r="301" spans="3:3" ht="15.75" customHeight="1">
      <c r="C301" s="86"/>
    </row>
    <row r="302" spans="3:3" ht="15.75" customHeight="1">
      <c r="C302" s="86"/>
    </row>
    <row r="303" spans="3:3" ht="15.75" customHeight="1">
      <c r="C303" s="86"/>
    </row>
    <row r="304" spans="3:3" ht="15.75" customHeight="1">
      <c r="C304" s="86"/>
    </row>
    <row r="305" spans="3:3" ht="15.75" customHeight="1">
      <c r="C305" s="86"/>
    </row>
    <row r="306" spans="3:3" ht="15.75" customHeight="1">
      <c r="C306" s="86"/>
    </row>
    <row r="307" spans="3:3" ht="15.75" customHeight="1">
      <c r="C307" s="86"/>
    </row>
    <row r="308" spans="3:3" ht="15.75" customHeight="1">
      <c r="C308" s="86"/>
    </row>
    <row r="309" spans="3:3" ht="15.75" customHeight="1">
      <c r="C309" s="86"/>
    </row>
    <row r="310" spans="3:3" ht="15.75" customHeight="1">
      <c r="C310" s="86"/>
    </row>
    <row r="311" spans="3:3" ht="15.75" customHeight="1">
      <c r="C311" s="86"/>
    </row>
    <row r="312" spans="3:3" ht="15.75" customHeight="1">
      <c r="C312" s="86"/>
    </row>
    <row r="313" spans="3:3" ht="15.75" customHeight="1">
      <c r="C313" s="86"/>
    </row>
    <row r="314" spans="3:3" ht="15.75" customHeight="1">
      <c r="C314" s="86"/>
    </row>
    <row r="315" spans="3:3" ht="15.75" customHeight="1">
      <c r="C315" s="86"/>
    </row>
    <row r="316" spans="3:3" ht="15.75" customHeight="1">
      <c r="C316" s="86"/>
    </row>
    <row r="317" spans="3:3" ht="15.75" customHeight="1">
      <c r="C317" s="86"/>
    </row>
    <row r="318" spans="3:3" ht="15.75" customHeight="1">
      <c r="C318" s="86"/>
    </row>
    <row r="319" spans="3:3" ht="15.75" customHeight="1">
      <c r="C319" s="86"/>
    </row>
    <row r="320" spans="3:3" ht="15.75" customHeight="1">
      <c r="C320" s="86"/>
    </row>
    <row r="321" spans="3:3" ht="15.75" customHeight="1">
      <c r="C321" s="86"/>
    </row>
    <row r="322" spans="3:3" ht="15.75" customHeight="1">
      <c r="C322" s="86"/>
    </row>
    <row r="323" spans="3:3" ht="15.75" customHeight="1">
      <c r="C323" s="86"/>
    </row>
    <row r="324" spans="3:3" ht="15.75" customHeight="1">
      <c r="C324" s="86"/>
    </row>
    <row r="325" spans="3:3" ht="15.75" customHeight="1">
      <c r="C325" s="86"/>
    </row>
    <row r="326" spans="3:3" ht="15.75" customHeight="1">
      <c r="C326" s="86"/>
    </row>
    <row r="327" spans="3:3" ht="15.75" customHeight="1">
      <c r="C327" s="86"/>
    </row>
    <row r="328" spans="3:3" ht="15.75" customHeight="1">
      <c r="C328" s="86"/>
    </row>
    <row r="329" spans="3:3" ht="15.75" customHeight="1">
      <c r="C329" s="86"/>
    </row>
    <row r="330" spans="3:3" ht="15.75" customHeight="1">
      <c r="C330" s="86"/>
    </row>
    <row r="331" spans="3:3" ht="15.75" customHeight="1">
      <c r="C331" s="86"/>
    </row>
    <row r="332" spans="3:3" ht="15.75" customHeight="1">
      <c r="C332" s="86"/>
    </row>
    <row r="333" spans="3:3" ht="15.75" customHeight="1">
      <c r="C333" s="86"/>
    </row>
    <row r="334" spans="3:3" ht="15.75" customHeight="1">
      <c r="C334" s="86"/>
    </row>
    <row r="335" spans="3:3" ht="15.75" customHeight="1">
      <c r="C335" s="86"/>
    </row>
    <row r="336" spans="3:3" ht="15.75" customHeight="1">
      <c r="C336" s="86"/>
    </row>
    <row r="337" spans="3:3" ht="15.75" customHeight="1">
      <c r="C337" s="86"/>
    </row>
    <row r="338" spans="3:3" ht="15.75" customHeight="1">
      <c r="C338" s="86"/>
    </row>
    <row r="339" spans="3:3" ht="15.75" customHeight="1">
      <c r="C339" s="86"/>
    </row>
    <row r="340" spans="3:3" ht="15.75" customHeight="1">
      <c r="C340" s="86"/>
    </row>
    <row r="341" spans="3:3" ht="15.75" customHeight="1">
      <c r="C341" s="86"/>
    </row>
    <row r="342" spans="3:3" ht="15.75" customHeight="1">
      <c r="C342" s="86"/>
    </row>
    <row r="343" spans="3:3" ht="15.75" customHeight="1">
      <c r="C343" s="86"/>
    </row>
    <row r="344" spans="3:3" ht="15.75" customHeight="1">
      <c r="C344" s="86"/>
    </row>
    <row r="345" spans="3:3" ht="15.75" customHeight="1"/>
    <row r="346" spans="3:3" ht="15.75" customHeight="1"/>
    <row r="347" spans="3:3" ht="15.75" customHeight="1"/>
    <row r="348" spans="3:3" ht="15.75" customHeight="1"/>
    <row r="349" spans="3:3" ht="15.75" customHeight="1"/>
    <row r="350" spans="3:3" ht="15.75" customHeight="1"/>
    <row r="351" spans="3:3" ht="15.75" customHeight="1"/>
    <row r="352" spans="3:3"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91:B91"/>
    <mergeCell ref="A92:C92"/>
    <mergeCell ref="A1:B1"/>
    <mergeCell ref="A2:B2"/>
    <mergeCell ref="A3:B3"/>
    <mergeCell ref="A4:B4"/>
    <mergeCell ref="A10:B10"/>
  </mergeCells>
  <conditionalFormatting sqref="A6:AD6">
    <cfRule type="expression" dxfId="41" priority="25" stopIfTrue="1">
      <formula>OR(AND(LEFT($A6, 16)="select_multiple ", LEN($A6)&gt;16, NOT(ISNUMBER(SEARCH(" ", $A6, 17)))), AND(LEFT($A6, 11)="select_one ", LEN($A6)&gt;11, NOT(ISNUMBER(SEARCH(" ", $A6, 12)))))</formula>
    </cfRule>
    <cfRule type="expression" dxfId="40" priority="20" stopIfTrue="1">
      <formula>$A6="note"</formula>
    </cfRule>
    <cfRule type="expression" dxfId="39" priority="21" stopIfTrue="1">
      <formula>$A6="barcode"</formula>
    </cfRule>
    <cfRule type="expression" dxfId="38" priority="32" stopIfTrue="1">
      <formula>$A6="begin group"</formula>
    </cfRule>
    <cfRule type="expression" dxfId="37" priority="31" stopIfTrue="1">
      <formula>$A6="end group"</formula>
    </cfRule>
    <cfRule type="expression" dxfId="36" priority="22" stopIfTrue="1">
      <formula>$A6="geopoint"</formula>
    </cfRule>
    <cfRule type="expression" dxfId="35" priority="30" stopIfTrue="1">
      <formula>$A6="begin repeat"</formula>
    </cfRule>
    <cfRule type="expression" dxfId="34" priority="29" stopIfTrue="1">
      <formula>$A6="end repeat"</formula>
    </cfRule>
    <cfRule type="expression" dxfId="33" priority="28" stopIfTrue="1">
      <formula>$A6="text"</formula>
    </cfRule>
    <cfRule type="expression" dxfId="32" priority="27" stopIfTrue="1">
      <formula>$A6="integer"</formula>
    </cfRule>
    <cfRule type="expression" dxfId="31" priority="26" stopIfTrue="1">
      <formula>$A6="decimal"</formula>
    </cfRule>
    <cfRule type="expression" dxfId="30" priority="24" stopIfTrue="1">
      <formula>OR($A6="phonenumber", $A6="start", $A6="end", $A6="deviceid", $A6="subscriberid", $A6="simserial")</formula>
    </cfRule>
    <cfRule type="expression" dxfId="29" priority="23" stopIfTrue="1">
      <formula>OR($A6="audio audit", $A6="text audit")</formula>
    </cfRule>
    <cfRule type="expression" dxfId="28" priority="15" stopIfTrue="1">
      <formula>$A6="comments"</formula>
    </cfRule>
    <cfRule type="expression" dxfId="27" priority="16" stopIfTrue="1">
      <formula>OR($A6="audio", $A6="video")</formula>
    </cfRule>
    <cfRule type="expression" dxfId="26" priority="17" stopIfTrue="1">
      <formula>$A6="image"</formula>
    </cfRule>
    <cfRule type="expression" dxfId="25" priority="18" stopIfTrue="1">
      <formula>OR($A6="date", $A6="datetime")</formula>
    </cfRule>
    <cfRule type="expression" dxfId="24" priority="19" stopIfTrue="1">
      <formula>OR($A6="calculate", $A6="calculate_here")</formula>
    </cfRule>
  </conditionalFormatting>
  <conditionalFormatting sqref="B6 H6">
    <cfRule type="expression" dxfId="23" priority="7" stopIfTrue="1">
      <formula>OR($A6="audio audit", $A6="text audit")</formula>
    </cfRule>
  </conditionalFormatting>
  <conditionalFormatting sqref="B6 R6">
    <cfRule type="expression" dxfId="22" priority="11" stopIfTrue="1">
      <formula>OR($A6="calculate", $A6="calculate_here")</formula>
    </cfRule>
  </conditionalFormatting>
  <conditionalFormatting sqref="B6">
    <cfRule type="expression" dxfId="21" priority="33" stopIfTrue="1">
      <formula>$A6="comments"</formula>
    </cfRule>
  </conditionalFormatting>
  <conditionalFormatting sqref="B6:C6 H6 L6">
    <cfRule type="expression" dxfId="20" priority="1" stopIfTrue="1">
      <formula>$A6="begin group"</formula>
    </cfRule>
  </conditionalFormatting>
  <conditionalFormatting sqref="B6:C6 H6">
    <cfRule type="expression" dxfId="19" priority="13" stopIfTrue="1">
      <formula>$A6="image"</formula>
    </cfRule>
    <cfRule type="expression" dxfId="18" priority="12" stopIfTrue="1">
      <formula>OR($A6="date", $A6="datetime")</formula>
    </cfRule>
    <cfRule type="expression" dxfId="17" priority="6" stopIfTrue="1">
      <formula>OR(AND(LEFT($A6, 16)="select_multiple ", LEN($A6)&gt;16, NOT(ISNUMBER(SEARCH(" ", $A6, 17)))), AND(LEFT($A6, 11)="select_one ", LEN($A6)&gt;11, NOT(ISNUMBER(SEARCH(" ", $A6, 12)))))</formula>
    </cfRule>
  </conditionalFormatting>
  <conditionalFormatting sqref="B6:C6 L6 S6">
    <cfRule type="expression" dxfId="16" priority="2" stopIfTrue="1">
      <formula>$A6="begin repeat"</formula>
    </cfRule>
  </conditionalFormatting>
  <conditionalFormatting sqref="B6:C6">
    <cfRule type="expression" dxfId="15" priority="14" stopIfTrue="1">
      <formula>OR($A6="audio", $A6="video")</formula>
    </cfRule>
    <cfRule type="expression" dxfId="14" priority="10" stopIfTrue="1">
      <formula>$A6="geopoint"</formula>
    </cfRule>
    <cfRule type="expression" dxfId="13" priority="9" stopIfTrue="1">
      <formula>$A6="barcode"</formula>
    </cfRule>
    <cfRule type="expression" dxfId="12" priority="8" stopIfTrue="1">
      <formula>$A6="note"</formula>
    </cfRule>
  </conditionalFormatting>
  <conditionalFormatting sqref="B6:F6 H6">
    <cfRule type="expression" dxfId="11" priority="3" stopIfTrue="1">
      <formula>$A6="text"</formula>
    </cfRule>
  </conditionalFormatting>
  <conditionalFormatting sqref="B6:F6 I6:K6">
    <cfRule type="expression" dxfId="10" priority="5" stopIfTrue="1">
      <formula>$A6="decimal"</formula>
    </cfRule>
    <cfRule type="expression" dxfId="9" priority="4" stopIfTrue="1">
      <formula>$A6="integer"</formula>
    </cfRule>
  </conditionalFormatting>
  <conditionalFormatting sqref="D6">
    <cfRule type="expression" dxfId="8" priority="52" stopIfTrue="1">
      <formula>$A6="begin group"</formula>
    </cfRule>
    <cfRule type="expression" dxfId="7" priority="53" stopIfTrue="1">
      <formula>$A6="begin repeat"</formula>
    </cfRule>
    <cfRule type="expression" dxfId="6" priority="54" stopIfTrue="1">
      <formula>OR(AND(LEFT($A6, 16)="select_multiple ", LEN($A6)&gt;16, NOT(ISNUMBER(SEARCH(" ", $A6, 17)))), AND(LEFT($A6, 11)="select_one ", LEN($A6)&gt;11, NOT(ISNUMBER(SEARCH(" ", $A6, 12)))))</formula>
    </cfRule>
    <cfRule type="expression" dxfId="5" priority="55" stopIfTrue="1">
      <formula>$A6="note"</formula>
    </cfRule>
    <cfRule type="expression" dxfId="4" priority="56" stopIfTrue="1">
      <formula>$A6="barcode"</formula>
    </cfRule>
    <cfRule type="expression" dxfId="3" priority="57" stopIfTrue="1">
      <formula>$A6="geopoint"</formula>
    </cfRule>
    <cfRule type="expression" dxfId="2" priority="58" stopIfTrue="1">
      <formula>OR($A6="date", $A6="datetime")</formula>
    </cfRule>
    <cfRule type="expression" dxfId="1" priority="59" stopIfTrue="1">
      <formula>$A6="image"</formula>
    </cfRule>
    <cfRule type="expression" dxfId="0" priority="60" stopIfTrue="1">
      <formula>OR($A6="audio", $A6="video")</formula>
    </cfRule>
  </conditionalFormatting>
  <hyperlinks>
    <hyperlink ref="D8" r:id="rId1" xr:uid="{00000000-0004-0000-0300-000000000000}"/>
    <hyperlink ref="F8" r:id="rId2" xr:uid="{00000000-0004-0000-0300-000001000000}"/>
    <hyperlink ref="G8" r:id="rId3" xr:uid="{00000000-0004-0000-0300-000002000000}"/>
    <hyperlink ref="I8" r:id="rId4" xr:uid="{00000000-0004-0000-0300-000003000000}"/>
    <hyperlink ref="J8" r:id="rId5" xr:uid="{00000000-0004-0000-0300-000004000000}"/>
    <hyperlink ref="L8" r:id="rId6" xr:uid="{00000000-0004-0000-0300-000005000000}"/>
    <hyperlink ref="M8" r:id="rId7" xr:uid="{00000000-0004-0000-0300-000006000000}"/>
    <hyperlink ref="N8" r:id="rId8" xr:uid="{00000000-0004-0000-0300-000007000000}"/>
    <hyperlink ref="O8" r:id="rId9" xr:uid="{00000000-0004-0000-0300-000008000000}"/>
    <hyperlink ref="Q8" r:id="rId10" xr:uid="{00000000-0004-0000-0300-000009000000}"/>
    <hyperlink ref="R8" r:id="rId11" xr:uid="{00000000-0004-0000-0300-00000A000000}"/>
    <hyperlink ref="S8" r:id="rId12" xr:uid="{00000000-0004-0000-0300-00000B000000}"/>
    <hyperlink ref="T8" r:id="rId13" xr:uid="{00000000-0004-0000-0300-00000C000000}"/>
    <hyperlink ref="U8" r:id="rId14" xr:uid="{00000000-0004-0000-0300-00000D000000}"/>
    <hyperlink ref="V8" r:id="rId15" xr:uid="{00000000-0004-0000-0300-00000E000000}"/>
    <hyperlink ref="W8" r:id="rId16" xr:uid="{00000000-0004-0000-0300-00000F000000}"/>
    <hyperlink ref="X8" r:id="rId17" xr:uid="{00000000-0004-0000-0300-000010000000}"/>
    <hyperlink ref="Y8" r:id="rId18" xr:uid="{00000000-0004-0000-0300-000011000000}"/>
    <hyperlink ref="Z8" r:id="rId19" xr:uid="{00000000-0004-0000-0300-000012000000}"/>
    <hyperlink ref="AA8" r:id="rId20" xr:uid="{00000000-0004-0000-0300-000013000000}"/>
    <hyperlink ref="AB8" r:id="rId21" xr:uid="{00000000-0004-0000-0300-000014000000}"/>
    <hyperlink ref="AC8" r:id="rId22" xr:uid="{00000000-0004-0000-0300-000015000000}"/>
    <hyperlink ref="AD8" r:id="rId23" xr:uid="{00000000-0004-0000-0300-000016000000}"/>
    <hyperlink ref="A12" r:id="rId24" xr:uid="{00000000-0004-0000-0300-000017000000}"/>
    <hyperlink ref="A13" r:id="rId25" xr:uid="{00000000-0004-0000-0300-000018000000}"/>
    <hyperlink ref="A14" r:id="rId26" xr:uid="{00000000-0004-0000-0300-000019000000}"/>
    <hyperlink ref="A15" r:id="rId27" xr:uid="{00000000-0004-0000-0300-00001A000000}"/>
    <hyperlink ref="A18" r:id="rId28" xr:uid="{00000000-0004-0000-0300-00001B000000}"/>
    <hyperlink ref="A19" r:id="rId29" xr:uid="{00000000-0004-0000-0300-00001C000000}"/>
    <hyperlink ref="A44" r:id="rId30" xr:uid="{00000000-0004-0000-0300-00001D000000}"/>
    <hyperlink ref="A45" r:id="rId31" xr:uid="{00000000-0004-0000-0300-00001E000000}"/>
    <hyperlink ref="A46" r:id="rId32" xr:uid="{00000000-0004-0000-0300-00001F000000}"/>
    <hyperlink ref="A47" r:id="rId33" xr:uid="{00000000-0004-0000-0300-000020000000}"/>
    <hyperlink ref="A57" r:id="rId34" xr:uid="{00000000-0004-0000-0300-000021000000}"/>
    <hyperlink ref="A58" r:id="rId35" xr:uid="{00000000-0004-0000-0300-000022000000}"/>
    <hyperlink ref="A59" r:id="rId36" xr:uid="{00000000-0004-0000-0300-000023000000}"/>
    <hyperlink ref="A60" r:id="rId37" xr:uid="{00000000-0004-0000-0300-000024000000}"/>
    <hyperlink ref="A61" r:id="rId38" xr:uid="{00000000-0004-0000-0300-000025000000}"/>
    <hyperlink ref="A62" r:id="rId39" xr:uid="{00000000-0004-0000-0300-000026000000}"/>
    <hyperlink ref="A63" r:id="rId40" xr:uid="{00000000-0004-0000-0300-000027000000}"/>
    <hyperlink ref="A64" r:id="rId41" xr:uid="{00000000-0004-0000-0300-000028000000}"/>
    <hyperlink ref="A65" r:id="rId42" xr:uid="{00000000-0004-0000-0300-000029000000}"/>
    <hyperlink ref="A66" r:id="rId43" xr:uid="{00000000-0004-0000-0300-00002A000000}"/>
    <hyperlink ref="A67" r:id="rId44" xr:uid="{00000000-0004-0000-0300-00002B000000}"/>
    <hyperlink ref="A68" r:id="rId45" xr:uid="{00000000-0004-0000-0300-00002C000000}"/>
    <hyperlink ref="A71" r:id="rId46" xr:uid="{00000000-0004-0000-0300-00002D000000}"/>
    <hyperlink ref="A76" r:id="rId47" xr:uid="{00000000-0004-0000-0300-00002E000000}"/>
    <hyperlink ref="A79" r:id="rId48" xr:uid="{00000000-0004-0000-0300-00002F000000}"/>
    <hyperlink ref="A82" r:id="rId49" xr:uid="{00000000-0004-0000-0300-000030000000}"/>
    <hyperlink ref="A88" r:id="rId50" xr:uid="{00000000-0004-0000-0300-000031000000}"/>
    <hyperlink ref="A89" r:id="rId51" xr:uid="{00000000-0004-0000-0300-000032000000}"/>
    <hyperlink ref="A92" r:id="rId52" xr:uid="{00000000-0004-0000-0300-000033000000}"/>
  </hyperlinks>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1.25" defaultRowHeight="15" customHeight="1"/>
  <cols>
    <col min="1" max="7" width="36" customWidth="1"/>
    <col min="8" max="26" width="10.58203125" customWidth="1"/>
  </cols>
  <sheetData>
    <row r="1" spans="1:26" ht="15.75" customHeight="1">
      <c r="A1" s="319" t="s">
        <v>1596</v>
      </c>
      <c r="B1" s="320"/>
      <c r="C1" s="11"/>
      <c r="D1" s="11"/>
      <c r="E1" s="11"/>
      <c r="F1" s="11"/>
      <c r="G1" s="11"/>
      <c r="H1" s="11"/>
      <c r="I1" s="11"/>
      <c r="J1" s="11"/>
      <c r="K1" s="11"/>
      <c r="L1" s="11"/>
      <c r="M1" s="11"/>
      <c r="N1" s="11"/>
      <c r="O1" s="11"/>
      <c r="P1" s="11"/>
      <c r="Q1" s="11"/>
      <c r="R1" s="11"/>
      <c r="S1" s="11"/>
      <c r="T1" s="11"/>
      <c r="U1" s="11"/>
      <c r="V1" s="11"/>
      <c r="W1" s="11"/>
      <c r="X1" s="11"/>
      <c r="Y1" s="11"/>
      <c r="Z1" s="11"/>
    </row>
    <row r="2" spans="1:26" ht="18" customHeight="1">
      <c r="A2" s="300"/>
      <c r="B2" s="301"/>
      <c r="C2" s="11"/>
      <c r="D2" s="11"/>
      <c r="E2" s="11"/>
      <c r="F2" s="11"/>
      <c r="G2" s="11"/>
      <c r="H2" s="11"/>
      <c r="I2" s="11"/>
      <c r="J2" s="11"/>
      <c r="K2" s="11"/>
      <c r="L2" s="11"/>
      <c r="M2" s="11"/>
      <c r="N2" s="11"/>
      <c r="O2" s="11"/>
      <c r="P2" s="11"/>
      <c r="Q2" s="11"/>
      <c r="R2" s="11"/>
      <c r="S2" s="11"/>
      <c r="T2" s="11"/>
      <c r="U2" s="11"/>
      <c r="V2" s="11"/>
      <c r="W2" s="11"/>
      <c r="X2" s="11"/>
      <c r="Y2" s="11"/>
      <c r="Z2" s="11"/>
    </row>
    <row r="3" spans="1:26" ht="36" customHeight="1">
      <c r="A3" s="323" t="s">
        <v>1597</v>
      </c>
      <c r="B3" s="322"/>
      <c r="C3" s="11"/>
      <c r="D3" s="11"/>
      <c r="E3" s="11"/>
      <c r="F3" s="11"/>
      <c r="G3" s="11"/>
      <c r="H3" s="11"/>
      <c r="I3" s="11"/>
      <c r="J3" s="11"/>
      <c r="K3" s="11"/>
      <c r="L3" s="11"/>
      <c r="M3" s="11"/>
      <c r="N3" s="11"/>
      <c r="O3" s="11"/>
      <c r="P3" s="11"/>
      <c r="Q3" s="11"/>
      <c r="R3" s="11"/>
      <c r="S3" s="11"/>
      <c r="T3" s="11"/>
      <c r="U3" s="11"/>
      <c r="V3" s="11"/>
      <c r="W3" s="11"/>
      <c r="X3" s="11"/>
      <c r="Y3" s="11"/>
      <c r="Z3" s="11"/>
    </row>
    <row r="4" spans="1:26" ht="18.75" customHeight="1">
      <c r="A4" s="328" t="s">
        <v>1598</v>
      </c>
      <c r="B4" s="322"/>
      <c r="C4" s="11"/>
      <c r="D4" s="11"/>
      <c r="E4" s="11"/>
      <c r="F4" s="11"/>
      <c r="G4" s="11"/>
      <c r="H4" s="11"/>
      <c r="I4" s="11"/>
      <c r="J4" s="11"/>
      <c r="K4" s="11"/>
      <c r="L4" s="11"/>
      <c r="M4" s="11"/>
      <c r="N4" s="11"/>
      <c r="O4" s="11"/>
      <c r="P4" s="11"/>
      <c r="Q4" s="11"/>
      <c r="R4" s="11"/>
      <c r="S4" s="11"/>
      <c r="T4" s="11"/>
      <c r="U4" s="11"/>
      <c r="V4" s="11"/>
      <c r="W4" s="11"/>
      <c r="X4" s="11"/>
      <c r="Y4" s="11"/>
      <c r="Z4" s="11"/>
    </row>
    <row r="5" spans="1:26" ht="18.75" customHeight="1">
      <c r="A5" s="328" t="s">
        <v>1599</v>
      </c>
      <c r="B5" s="322"/>
      <c r="C5" s="11"/>
      <c r="D5" s="11"/>
      <c r="E5" s="11"/>
      <c r="F5" s="11"/>
      <c r="G5" s="11"/>
      <c r="H5" s="11"/>
      <c r="I5" s="11"/>
      <c r="J5" s="11"/>
      <c r="K5" s="11"/>
      <c r="L5" s="11"/>
      <c r="M5" s="11"/>
      <c r="N5" s="11"/>
      <c r="O5" s="11"/>
      <c r="P5" s="11"/>
      <c r="Q5" s="11"/>
      <c r="R5" s="11"/>
      <c r="S5" s="11"/>
      <c r="T5" s="11"/>
      <c r="U5" s="11"/>
      <c r="V5" s="11"/>
      <c r="W5" s="11"/>
      <c r="X5" s="11"/>
      <c r="Y5" s="11"/>
      <c r="Z5" s="11"/>
    </row>
    <row r="6" spans="1:26" ht="19.5" customHeight="1">
      <c r="A6" s="324" t="s">
        <v>1600</v>
      </c>
      <c r="B6" s="325"/>
      <c r="C6" s="11"/>
      <c r="D6" s="11"/>
      <c r="E6" s="11"/>
      <c r="F6" s="11"/>
      <c r="G6" s="11"/>
      <c r="H6" s="11"/>
      <c r="I6" s="11"/>
      <c r="J6" s="11"/>
      <c r="K6" s="11"/>
      <c r="L6" s="11"/>
      <c r="M6" s="11"/>
      <c r="N6" s="11"/>
      <c r="O6" s="11"/>
      <c r="P6" s="11"/>
      <c r="Q6" s="11"/>
      <c r="R6" s="11"/>
      <c r="S6" s="11"/>
      <c r="T6" s="11"/>
      <c r="U6" s="11"/>
      <c r="V6" s="11"/>
      <c r="W6" s="11"/>
      <c r="X6" s="11"/>
      <c r="Y6" s="11"/>
      <c r="Z6" s="11"/>
    </row>
    <row r="7" spans="1:26"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row>
    <row r="8" spans="1:26" ht="18" customHeight="1">
      <c r="A8" s="222" t="s">
        <v>818</v>
      </c>
      <c r="B8" s="222" t="s">
        <v>819</v>
      </c>
      <c r="C8" s="302" t="s">
        <v>1325</v>
      </c>
      <c r="D8" s="302" t="s">
        <v>1326</v>
      </c>
      <c r="E8" s="222" t="s">
        <v>820</v>
      </c>
      <c r="F8" s="222" t="s">
        <v>1601</v>
      </c>
      <c r="G8" s="222" t="s">
        <v>821</v>
      </c>
      <c r="H8" s="6"/>
      <c r="I8" s="6"/>
      <c r="J8" s="6"/>
      <c r="K8" s="6"/>
      <c r="L8" s="6"/>
      <c r="M8" s="6"/>
      <c r="N8" s="6"/>
      <c r="O8" s="6"/>
      <c r="P8" s="6"/>
      <c r="Q8" s="6"/>
      <c r="R8" s="6"/>
      <c r="S8" s="6"/>
      <c r="T8" s="6"/>
      <c r="U8" s="6"/>
      <c r="V8" s="6"/>
      <c r="W8" s="6"/>
      <c r="X8" s="6"/>
      <c r="Y8" s="6"/>
      <c r="Z8" s="6"/>
    </row>
    <row r="9" spans="1:26" ht="15.75" customHeight="1">
      <c r="A9" s="303" t="s">
        <v>1602</v>
      </c>
      <c r="B9" s="303" t="s">
        <v>1603</v>
      </c>
      <c r="C9" s="303" t="s">
        <v>1604</v>
      </c>
      <c r="D9" s="303" t="s">
        <v>1605</v>
      </c>
      <c r="E9" s="303" t="s">
        <v>1606</v>
      </c>
      <c r="F9" s="303" t="s">
        <v>1607</v>
      </c>
      <c r="G9" s="303" t="s">
        <v>1608</v>
      </c>
      <c r="H9" s="303"/>
      <c r="I9" s="304"/>
      <c r="J9" s="304"/>
      <c r="K9" s="304"/>
      <c r="L9" s="304"/>
      <c r="M9" s="304"/>
      <c r="N9" s="304"/>
      <c r="O9" s="304"/>
      <c r="P9" s="304"/>
      <c r="Q9" s="304"/>
      <c r="R9" s="304"/>
      <c r="S9" s="304"/>
      <c r="T9" s="304"/>
      <c r="U9" s="304"/>
      <c r="V9" s="304"/>
      <c r="W9" s="304"/>
      <c r="X9" s="304"/>
      <c r="Y9" s="304"/>
      <c r="Z9" s="304"/>
    </row>
    <row r="10" spans="1:26" ht="15.75" customHeight="1">
      <c r="A10" s="305"/>
      <c r="B10" s="305"/>
      <c r="C10" s="305"/>
      <c r="D10" s="306" t="s">
        <v>1365</v>
      </c>
      <c r="E10" s="307" t="s">
        <v>1372</v>
      </c>
      <c r="F10" s="305"/>
      <c r="G10" s="307" t="s">
        <v>1373</v>
      </c>
      <c r="H10" s="305"/>
      <c r="I10" s="305"/>
      <c r="J10" s="305"/>
      <c r="K10" s="305"/>
      <c r="L10" s="305"/>
      <c r="M10" s="305"/>
      <c r="N10" s="305"/>
      <c r="O10" s="305"/>
      <c r="P10" s="305"/>
      <c r="Q10" s="305"/>
      <c r="R10" s="305"/>
      <c r="S10" s="305"/>
      <c r="T10" s="305"/>
      <c r="U10" s="305"/>
      <c r="V10" s="305"/>
      <c r="W10" s="305"/>
      <c r="X10" s="305"/>
      <c r="Y10" s="305"/>
      <c r="Z10" s="305"/>
    </row>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ef="D10" r:id="rId1" xr:uid="{00000000-0004-0000-0400-000000000000}"/>
    <hyperlink ref="E10" r:id="rId2" xr:uid="{00000000-0004-0000-0400-000001000000}"/>
    <hyperlink ref="G10" r:id="rId3" xr:uid="{00000000-0004-0000-0400-000002000000}"/>
  </hyperlinks>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1.25" defaultRowHeight="15" customHeight="1"/>
  <cols>
    <col min="1" max="6" width="36" customWidth="1"/>
    <col min="7" max="26" width="10.58203125" customWidth="1"/>
  </cols>
  <sheetData>
    <row r="1" spans="1:26" ht="15.75" customHeight="1">
      <c r="A1" s="329" t="s">
        <v>1609</v>
      </c>
      <c r="B1" s="330"/>
      <c r="C1" s="308"/>
      <c r="D1" s="308"/>
      <c r="E1" s="308"/>
      <c r="F1" s="308"/>
      <c r="G1" s="11"/>
      <c r="H1" s="11"/>
      <c r="I1" s="11"/>
      <c r="J1" s="11"/>
      <c r="K1" s="11"/>
      <c r="L1" s="11"/>
      <c r="M1" s="11"/>
      <c r="N1" s="11"/>
      <c r="O1" s="11"/>
      <c r="P1" s="11"/>
      <c r="Q1" s="11"/>
      <c r="R1" s="11"/>
      <c r="S1" s="11"/>
      <c r="T1" s="11"/>
      <c r="U1" s="11"/>
      <c r="V1" s="11"/>
      <c r="W1" s="11"/>
      <c r="X1" s="11"/>
      <c r="Y1" s="11"/>
      <c r="Z1" s="11"/>
    </row>
    <row r="2" spans="1:26" ht="15.75" customHeight="1">
      <c r="A2" s="331"/>
      <c r="B2" s="332"/>
      <c r="C2" s="308"/>
      <c r="D2" s="308"/>
      <c r="E2" s="308"/>
      <c r="F2" s="308"/>
      <c r="G2" s="11"/>
      <c r="H2" s="11"/>
      <c r="I2" s="11"/>
      <c r="J2" s="11"/>
      <c r="K2" s="11"/>
      <c r="L2" s="11"/>
      <c r="M2" s="11"/>
      <c r="N2" s="11"/>
      <c r="O2" s="11"/>
      <c r="P2" s="11"/>
      <c r="Q2" s="11"/>
      <c r="R2" s="11"/>
      <c r="S2" s="11"/>
      <c r="T2" s="11"/>
      <c r="U2" s="11"/>
      <c r="V2" s="11"/>
      <c r="W2" s="11"/>
      <c r="X2" s="11"/>
      <c r="Y2" s="11"/>
      <c r="Z2" s="11"/>
    </row>
    <row r="3" spans="1:26" ht="54.75" customHeight="1">
      <c r="A3" s="333" t="s">
        <v>1610</v>
      </c>
      <c r="B3" s="334"/>
      <c r="C3" s="308"/>
      <c r="D3" s="308"/>
      <c r="E3" s="308"/>
      <c r="F3" s="308"/>
      <c r="G3" s="11"/>
      <c r="H3" s="11"/>
      <c r="I3" s="11"/>
      <c r="J3" s="11"/>
      <c r="K3" s="11"/>
      <c r="L3" s="11"/>
      <c r="M3" s="11"/>
      <c r="N3" s="11"/>
      <c r="O3" s="11"/>
      <c r="P3" s="11"/>
      <c r="Q3" s="11"/>
      <c r="R3" s="11"/>
      <c r="S3" s="11"/>
      <c r="T3" s="11"/>
      <c r="U3" s="11"/>
      <c r="V3" s="11"/>
      <c r="W3" s="11"/>
      <c r="X3" s="11"/>
      <c r="Y3" s="11"/>
      <c r="Z3" s="11"/>
    </row>
    <row r="4" spans="1:26" ht="15.75" customHeight="1">
      <c r="A4" s="308"/>
      <c r="B4" s="308"/>
      <c r="C4" s="308"/>
      <c r="D4" s="308"/>
      <c r="E4" s="308"/>
      <c r="F4" s="308"/>
      <c r="G4" s="11"/>
      <c r="H4" s="11"/>
      <c r="I4" s="11"/>
      <c r="J4" s="11"/>
      <c r="K4" s="11"/>
      <c r="L4" s="11"/>
      <c r="M4" s="11"/>
      <c r="N4" s="11"/>
      <c r="O4" s="11"/>
      <c r="P4" s="11"/>
      <c r="Q4" s="11"/>
      <c r="R4" s="11"/>
      <c r="S4" s="11"/>
      <c r="T4" s="11"/>
      <c r="U4" s="11"/>
      <c r="V4" s="11"/>
      <c r="W4" s="11"/>
      <c r="X4" s="11"/>
      <c r="Y4" s="11"/>
      <c r="Z4" s="11"/>
    </row>
    <row r="5" spans="1:26" ht="18" customHeight="1">
      <c r="A5" s="309" t="s">
        <v>1310</v>
      </c>
      <c r="B5" s="309" t="s">
        <v>1311</v>
      </c>
      <c r="C5" s="309" t="s">
        <v>1312</v>
      </c>
      <c r="D5" s="309" t="s">
        <v>1313</v>
      </c>
      <c r="E5" s="309" t="s">
        <v>1314</v>
      </c>
      <c r="F5" s="310" t="s">
        <v>1315</v>
      </c>
      <c r="G5" s="311"/>
      <c r="H5" s="312"/>
      <c r="I5" s="311"/>
      <c r="J5" s="311"/>
      <c r="K5" s="311"/>
      <c r="L5" s="311"/>
      <c r="M5" s="311"/>
      <c r="N5" s="311"/>
      <c r="O5" s="311"/>
      <c r="P5" s="311"/>
      <c r="Q5" s="311"/>
      <c r="R5" s="311"/>
      <c r="S5" s="311"/>
      <c r="T5" s="311"/>
      <c r="U5" s="311"/>
      <c r="V5" s="311"/>
      <c r="W5" s="311"/>
      <c r="X5" s="311"/>
      <c r="Y5" s="311"/>
      <c r="Z5" s="311"/>
    </row>
    <row r="6" spans="1:26" ht="15.75" customHeight="1">
      <c r="A6" s="269" t="s">
        <v>1611</v>
      </c>
      <c r="B6" s="269" t="s">
        <v>1612</v>
      </c>
      <c r="C6" s="269" t="s">
        <v>1613</v>
      </c>
      <c r="D6" s="269" t="s">
        <v>1614</v>
      </c>
      <c r="E6" s="269" t="s">
        <v>1615</v>
      </c>
      <c r="F6" s="269" t="s">
        <v>1616</v>
      </c>
      <c r="G6" s="272"/>
      <c r="H6" s="272"/>
      <c r="I6" s="272"/>
      <c r="J6" s="272"/>
      <c r="K6" s="272"/>
      <c r="L6" s="272"/>
      <c r="M6" s="272"/>
      <c r="N6" s="272"/>
      <c r="O6" s="272"/>
      <c r="P6" s="272"/>
      <c r="Q6" s="272"/>
      <c r="R6" s="272"/>
      <c r="S6" s="272"/>
      <c r="T6" s="272"/>
      <c r="U6" s="272"/>
      <c r="V6" s="272"/>
      <c r="W6" s="272"/>
      <c r="X6" s="272"/>
      <c r="Y6" s="272"/>
      <c r="Z6" s="272"/>
    </row>
    <row r="7" spans="1:26" ht="15.75" customHeight="1">
      <c r="A7" s="276" t="s">
        <v>1617</v>
      </c>
      <c r="B7" s="313"/>
      <c r="C7" s="276" t="s">
        <v>1618</v>
      </c>
      <c r="D7" s="276" t="s">
        <v>1375</v>
      </c>
      <c r="E7" s="276" t="s">
        <v>1375</v>
      </c>
      <c r="F7" s="276" t="s">
        <v>1365</v>
      </c>
      <c r="G7" s="272"/>
      <c r="H7" s="272"/>
      <c r="I7" s="272"/>
      <c r="J7" s="272"/>
      <c r="K7" s="272"/>
      <c r="L7" s="272"/>
      <c r="M7" s="272"/>
      <c r="N7" s="272"/>
      <c r="O7" s="272"/>
      <c r="P7" s="272"/>
      <c r="Q7" s="272"/>
      <c r="R7" s="272"/>
      <c r="S7" s="272"/>
      <c r="T7" s="272"/>
      <c r="U7" s="272"/>
      <c r="V7" s="272"/>
      <c r="W7" s="272"/>
      <c r="X7" s="272"/>
      <c r="Y7" s="272"/>
      <c r="Z7" s="272"/>
    </row>
    <row r="8" spans="1:26" ht="15.75" customHeight="1">
      <c r="A8" s="314"/>
      <c r="B8" s="314"/>
      <c r="C8" s="314"/>
      <c r="D8" s="314"/>
      <c r="E8" s="314"/>
      <c r="F8" s="314"/>
    </row>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ef="A7" r:id="rId1" xr:uid="{00000000-0004-0000-0500-000000000000}"/>
    <hyperlink ref="C7" r:id="rId2" xr:uid="{00000000-0004-0000-0500-000001000000}"/>
    <hyperlink ref="D7" r:id="rId3" xr:uid="{00000000-0004-0000-0500-000002000000}"/>
    <hyperlink ref="E7" r:id="rId4" xr:uid="{00000000-0004-0000-0500-000003000000}"/>
    <hyperlink ref="F7" r:id="rId5" xr:uid="{00000000-0004-0000-0500-000004000000}"/>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Tanjim Islam</cp:lastModifiedBy>
  <dcterms:modified xsi:type="dcterms:W3CDTF">2025-07-21T18:13:12Z</dcterms:modified>
</cp:coreProperties>
</file>